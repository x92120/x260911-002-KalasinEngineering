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-IO_List/"/>
    </mc:Choice>
  </mc:AlternateContent>
  <xr:revisionPtr revIDLastSave="0" documentId="13_ncr:1_{4BBB33C0-27E3-F444-9503-B1E3CB9C6B73}" xr6:coauthVersionLast="47" xr6:coauthVersionMax="47" xr10:uidLastSave="{00000000-0000-0000-0000-000000000000}"/>
  <bookViews>
    <workbookView xWindow="36000" yWindow="0" windowWidth="38400" windowHeight="21600" activeTab="5" xr2:uid="{D0DB9177-BDF2-D644-B712-1095DF07F056}"/>
  </bookViews>
  <sheets>
    <sheet name="C4S1" sheetId="1" r:id="rId1"/>
    <sheet name="C4S2" sheetId="2" r:id="rId2"/>
    <sheet name="C4S5" sheetId="5" r:id="rId3"/>
    <sheet name="C4S6" sheetId="6" r:id="rId4"/>
    <sheet name="C4S5_C4S6" sheetId="7" r:id="rId5"/>
    <sheet name="TBSI-All" sheetId="9" r:id="rId6"/>
    <sheet name="Sheet8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0" i="9" l="1"/>
  <c r="D128" i="9"/>
  <c r="D126" i="9"/>
  <c r="D124" i="9"/>
  <c r="D122" i="9"/>
  <c r="D120" i="9"/>
  <c r="D118" i="9"/>
  <c r="D116" i="9"/>
  <c r="D114" i="9"/>
  <c r="D112" i="9"/>
  <c r="D110" i="9"/>
  <c r="D108" i="9"/>
  <c r="D106" i="9"/>
  <c r="D104" i="9"/>
  <c r="D102" i="9"/>
  <c r="D100" i="9"/>
  <c r="O128" i="9"/>
  <c r="O129" i="9"/>
  <c r="O130" i="9"/>
  <c r="N130" i="9"/>
  <c r="M130" i="9"/>
  <c r="F130" i="9"/>
  <c r="F129" i="9"/>
  <c r="N128" i="9"/>
  <c r="M128" i="9"/>
  <c r="F128" i="9"/>
  <c r="F127" i="9"/>
  <c r="N126" i="9"/>
  <c r="M126" i="9"/>
  <c r="F126" i="9"/>
  <c r="F125" i="9"/>
  <c r="N124" i="9"/>
  <c r="M124" i="9"/>
  <c r="F124" i="9"/>
  <c r="F123" i="9"/>
  <c r="N122" i="9"/>
  <c r="M122" i="9"/>
  <c r="F122" i="9"/>
  <c r="F121" i="9"/>
  <c r="N120" i="9"/>
  <c r="M120" i="9"/>
  <c r="F120" i="9"/>
  <c r="F119" i="9"/>
  <c r="N118" i="9"/>
  <c r="M118" i="9"/>
  <c r="F118" i="9"/>
  <c r="F117" i="9"/>
  <c r="N116" i="9"/>
  <c r="M116" i="9"/>
  <c r="F116" i="9"/>
  <c r="F115" i="9"/>
  <c r="N114" i="9"/>
  <c r="M114" i="9"/>
  <c r="F114" i="9"/>
  <c r="F113" i="9"/>
  <c r="N112" i="9"/>
  <c r="M112" i="9"/>
  <c r="F112" i="9"/>
  <c r="F111" i="9"/>
  <c r="N110" i="9"/>
  <c r="M110" i="9"/>
  <c r="F110" i="9"/>
  <c r="F109" i="9"/>
  <c r="N108" i="9"/>
  <c r="M108" i="9"/>
  <c r="F108" i="9"/>
  <c r="F107" i="9"/>
  <c r="N106" i="9"/>
  <c r="M106" i="9"/>
  <c r="F106" i="9"/>
  <c r="F105" i="9"/>
  <c r="N104" i="9"/>
  <c r="M104" i="9"/>
  <c r="F104" i="9"/>
  <c r="F103" i="9"/>
  <c r="N102" i="9"/>
  <c r="M102" i="9"/>
  <c r="F102" i="9"/>
  <c r="F101" i="9"/>
  <c r="F100" i="9"/>
  <c r="F99" i="9"/>
  <c r="N98" i="9"/>
  <c r="M98" i="9"/>
  <c r="F98" i="9"/>
  <c r="F97" i="9"/>
  <c r="N96" i="9"/>
  <c r="M96" i="9"/>
  <c r="F96" i="9"/>
  <c r="F95" i="9"/>
  <c r="N94" i="9"/>
  <c r="M94" i="9"/>
  <c r="F94" i="9"/>
  <c r="F93" i="9"/>
  <c r="N92" i="9"/>
  <c r="M92" i="9"/>
  <c r="F92" i="9"/>
  <c r="F91" i="9"/>
  <c r="N90" i="9"/>
  <c r="M90" i="9"/>
  <c r="F90" i="9"/>
  <c r="F89" i="9"/>
  <c r="N88" i="9"/>
  <c r="M88" i="9"/>
  <c r="F88" i="9"/>
  <c r="F87" i="9"/>
  <c r="N86" i="9"/>
  <c r="M86" i="9"/>
  <c r="F86" i="9"/>
  <c r="F85" i="9"/>
  <c r="N84" i="9"/>
  <c r="M84" i="9"/>
  <c r="F84" i="9"/>
  <c r="F83" i="9"/>
  <c r="N82" i="9"/>
  <c r="M82" i="9"/>
  <c r="F82" i="9"/>
  <c r="F81" i="9"/>
  <c r="N80" i="9"/>
  <c r="M80" i="9"/>
  <c r="F80" i="9"/>
  <c r="F79" i="9"/>
  <c r="N78" i="9"/>
  <c r="M78" i="9"/>
  <c r="F78" i="9"/>
  <c r="F77" i="9"/>
  <c r="N76" i="9"/>
  <c r="M76" i="9"/>
  <c r="F76" i="9"/>
  <c r="F75" i="9"/>
  <c r="N74" i="9"/>
  <c r="M74" i="9"/>
  <c r="F74" i="9"/>
  <c r="F73" i="9"/>
  <c r="N72" i="9"/>
  <c r="M72" i="9"/>
  <c r="F72" i="9"/>
  <c r="F71" i="9"/>
  <c r="N70" i="9"/>
  <c r="M70" i="9"/>
  <c r="F70" i="9"/>
  <c r="F69" i="9"/>
  <c r="F68" i="9"/>
  <c r="F67" i="9"/>
  <c r="D98" i="9"/>
  <c r="D96" i="9"/>
  <c r="D94" i="9"/>
  <c r="D92" i="9"/>
  <c r="D90" i="9"/>
  <c r="D88" i="9"/>
  <c r="D86" i="9"/>
  <c r="D84" i="9"/>
  <c r="D82" i="9"/>
  <c r="D80" i="9"/>
  <c r="D78" i="9"/>
  <c r="D76" i="9"/>
  <c r="D74" i="9"/>
  <c r="D72" i="9"/>
  <c r="D70" i="9"/>
  <c r="D68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T76" i="9"/>
  <c r="S76" i="9"/>
  <c r="R76" i="9"/>
  <c r="Q76" i="9"/>
  <c r="P76" i="9"/>
  <c r="O76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7" i="9"/>
  <c r="T74" i="9"/>
  <c r="S74" i="9"/>
  <c r="R74" i="9"/>
  <c r="Q74" i="9"/>
  <c r="P74" i="9"/>
  <c r="T72" i="9"/>
  <c r="S72" i="9"/>
  <c r="R72" i="9"/>
  <c r="Q72" i="9"/>
  <c r="P72" i="9"/>
  <c r="T70" i="9"/>
  <c r="S70" i="9"/>
  <c r="R70" i="9"/>
  <c r="Q70" i="9"/>
  <c r="P70" i="9"/>
  <c r="T68" i="9"/>
  <c r="S68" i="9"/>
  <c r="R68" i="9"/>
  <c r="Q68" i="9"/>
  <c r="P68" i="9"/>
  <c r="T66" i="9"/>
  <c r="S66" i="9"/>
  <c r="R66" i="9"/>
  <c r="Q66" i="9"/>
  <c r="P66" i="9"/>
  <c r="T64" i="9"/>
  <c r="S64" i="9"/>
  <c r="R64" i="9"/>
  <c r="Q64" i="9"/>
  <c r="P64" i="9"/>
  <c r="T62" i="9"/>
  <c r="S62" i="9"/>
  <c r="R62" i="9"/>
  <c r="Q62" i="9"/>
  <c r="P62" i="9"/>
  <c r="T60" i="9"/>
  <c r="S60" i="9"/>
  <c r="R60" i="9"/>
  <c r="Q60" i="9"/>
  <c r="P60" i="9"/>
  <c r="T58" i="9"/>
  <c r="S58" i="9"/>
  <c r="R58" i="9"/>
  <c r="Q58" i="9"/>
  <c r="P58" i="9"/>
  <c r="T56" i="9"/>
  <c r="S56" i="9"/>
  <c r="R56" i="9"/>
  <c r="Q56" i="9"/>
  <c r="P56" i="9"/>
  <c r="T54" i="9"/>
  <c r="S54" i="9"/>
  <c r="R54" i="9"/>
  <c r="Q54" i="9"/>
  <c r="P54" i="9"/>
  <c r="T52" i="9"/>
  <c r="S52" i="9"/>
  <c r="R52" i="9"/>
  <c r="Q52" i="9"/>
  <c r="P52" i="9"/>
  <c r="T50" i="9"/>
  <c r="S50" i="9"/>
  <c r="R50" i="9"/>
  <c r="Q50" i="9"/>
  <c r="P50" i="9"/>
  <c r="Q48" i="9"/>
  <c r="R48" i="9"/>
  <c r="S48" i="9"/>
  <c r="T48" i="9"/>
  <c r="P48" i="9"/>
  <c r="N6" i="9"/>
  <c r="N8" i="9"/>
  <c r="N10" i="9"/>
  <c r="N12" i="9"/>
  <c r="N14" i="9"/>
  <c r="N16" i="9"/>
  <c r="N18" i="9"/>
  <c r="N20" i="9"/>
  <c r="N22" i="9"/>
  <c r="N24" i="9"/>
  <c r="N26" i="9"/>
  <c r="N28" i="9"/>
  <c r="N30" i="9"/>
  <c r="N32" i="9"/>
  <c r="N34" i="9"/>
  <c r="N38" i="9"/>
  <c r="N40" i="9"/>
  <c r="N42" i="9"/>
  <c r="N44" i="9"/>
  <c r="N46" i="9"/>
  <c r="N48" i="9"/>
  <c r="N50" i="9"/>
  <c r="N52" i="9"/>
  <c r="N54" i="9"/>
  <c r="N56" i="9"/>
  <c r="N58" i="9"/>
  <c r="N60" i="9"/>
  <c r="N62" i="9"/>
  <c r="N64" i="9"/>
  <c r="N66" i="9"/>
  <c r="M6" i="9"/>
  <c r="M8" i="9"/>
  <c r="M10" i="9"/>
  <c r="M12" i="9"/>
  <c r="M14" i="9"/>
  <c r="M16" i="9"/>
  <c r="M18" i="9"/>
  <c r="M20" i="9"/>
  <c r="M22" i="9"/>
  <c r="M24" i="9"/>
  <c r="M26" i="9"/>
  <c r="M28" i="9"/>
  <c r="M30" i="9"/>
  <c r="M32" i="9"/>
  <c r="M34" i="9"/>
  <c r="M38" i="9"/>
  <c r="M40" i="9"/>
  <c r="M42" i="9"/>
  <c r="M44" i="9"/>
  <c r="M46" i="9"/>
  <c r="M48" i="9"/>
  <c r="M50" i="9"/>
  <c r="M52" i="9"/>
  <c r="M54" i="9"/>
  <c r="M56" i="9"/>
  <c r="M58" i="9"/>
  <c r="M60" i="9"/>
  <c r="M62" i="9"/>
  <c r="M64" i="9"/>
  <c r="M66" i="9"/>
  <c r="F5" i="9"/>
  <c r="F7" i="9"/>
  <c r="F9" i="9"/>
  <c r="F11" i="9"/>
  <c r="F13" i="9"/>
  <c r="F15" i="9"/>
  <c r="F17" i="9"/>
  <c r="F19" i="9"/>
  <c r="F21" i="9"/>
  <c r="F23" i="9"/>
  <c r="F25" i="9"/>
  <c r="F27" i="9"/>
  <c r="F29" i="9"/>
  <c r="F31" i="9"/>
  <c r="F33" i="9"/>
  <c r="F35" i="9"/>
  <c r="F37" i="9"/>
  <c r="F39" i="9"/>
  <c r="F41" i="9"/>
  <c r="F43" i="9"/>
  <c r="F45" i="9"/>
  <c r="F47" i="9"/>
  <c r="F49" i="9"/>
  <c r="F51" i="9"/>
  <c r="F53" i="9"/>
  <c r="F55" i="9"/>
  <c r="F57" i="9"/>
  <c r="F59" i="9"/>
  <c r="F61" i="9"/>
  <c r="F63" i="9"/>
  <c r="F65" i="9"/>
  <c r="F3" i="9"/>
  <c r="D66" i="9"/>
  <c r="F66" i="9" s="1"/>
  <c r="D64" i="9"/>
  <c r="F64" i="9" s="1"/>
  <c r="D62" i="9"/>
  <c r="F62" i="9" s="1"/>
  <c r="D60" i="9"/>
  <c r="F60" i="9" s="1"/>
  <c r="D58" i="9"/>
  <c r="F58" i="9" s="1"/>
  <c r="D56" i="9"/>
  <c r="F56" i="9" s="1"/>
  <c r="D54" i="9"/>
  <c r="F54" i="9" s="1"/>
  <c r="D52" i="9"/>
  <c r="F52" i="9" s="1"/>
  <c r="D50" i="9"/>
  <c r="F50" i="9" s="1"/>
  <c r="D48" i="9"/>
  <c r="F48" i="9" s="1"/>
  <c r="D46" i="9"/>
  <c r="F46" i="9" s="1"/>
  <c r="D44" i="9"/>
  <c r="F44" i="9" s="1"/>
  <c r="D42" i="9"/>
  <c r="F42" i="9" s="1"/>
  <c r="D40" i="9"/>
  <c r="F40" i="9" s="1"/>
  <c r="D38" i="9"/>
  <c r="F38" i="9" s="1"/>
  <c r="D36" i="9"/>
  <c r="F36" i="9" s="1"/>
  <c r="D34" i="9"/>
  <c r="F34" i="9" s="1"/>
  <c r="D32" i="9"/>
  <c r="F32" i="9" s="1"/>
  <c r="D30" i="9"/>
  <c r="F30" i="9" s="1"/>
  <c r="D28" i="9"/>
  <c r="F28" i="9" s="1"/>
  <c r="D26" i="9"/>
  <c r="F26" i="9" s="1"/>
  <c r="D24" i="9"/>
  <c r="F24" i="9" s="1"/>
  <c r="D22" i="9"/>
  <c r="F22" i="9" s="1"/>
  <c r="D20" i="9"/>
  <c r="F20" i="9" s="1"/>
  <c r="D18" i="9"/>
  <c r="F18" i="9" s="1"/>
  <c r="D16" i="9"/>
  <c r="F16" i="9" s="1"/>
  <c r="D14" i="9"/>
  <c r="F14" i="9" s="1"/>
  <c r="D12" i="9"/>
  <c r="F12" i="9" s="1"/>
  <c r="D10" i="9"/>
  <c r="F10" i="9" s="1"/>
  <c r="D8" i="9"/>
  <c r="F8" i="9" s="1"/>
  <c r="D6" i="9"/>
  <c r="F6" i="9" s="1"/>
  <c r="D4" i="9"/>
  <c r="F4" i="9" s="1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82" i="7"/>
  <c r="G84" i="7"/>
  <c r="G86" i="7"/>
  <c r="G88" i="7"/>
  <c r="G90" i="7"/>
  <c r="G92" i="7"/>
  <c r="G94" i="7"/>
  <c r="G80" i="7"/>
  <c r="G74" i="7"/>
  <c r="G76" i="7"/>
  <c r="G78" i="7"/>
  <c r="G72" i="7"/>
  <c r="G9" i="7"/>
  <c r="G10" i="7"/>
  <c r="G11" i="7"/>
  <c r="H11" i="7"/>
  <c r="I11" i="7"/>
  <c r="G12" i="7"/>
  <c r="G13" i="7"/>
  <c r="H13" i="7"/>
  <c r="I13" i="7"/>
  <c r="G14" i="7"/>
  <c r="G15" i="7"/>
  <c r="G16" i="7"/>
  <c r="G17" i="7"/>
  <c r="G18" i="7"/>
  <c r="I18" i="7" s="1"/>
  <c r="H18" i="7"/>
  <c r="G19" i="7"/>
  <c r="G20" i="7"/>
  <c r="G21" i="7"/>
  <c r="G22" i="7"/>
  <c r="G23" i="7"/>
  <c r="G24" i="7"/>
  <c r="G25" i="7"/>
  <c r="I25" i="7" s="1"/>
  <c r="H25" i="7"/>
  <c r="G26" i="7"/>
  <c r="G27" i="7"/>
  <c r="G28" i="7"/>
  <c r="G29" i="7"/>
  <c r="G30" i="7"/>
  <c r="G31" i="7"/>
  <c r="G32" i="7"/>
  <c r="I32" i="7" s="1"/>
  <c r="H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H52" i="7"/>
  <c r="I52" i="7"/>
  <c r="G53" i="7"/>
  <c r="G54" i="7"/>
  <c r="G55" i="7"/>
  <c r="G56" i="7"/>
  <c r="I56" i="7" s="1"/>
  <c r="H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H71" i="7"/>
  <c r="I71" i="7"/>
  <c r="G8" i="7"/>
  <c r="F73" i="7"/>
  <c r="G73" i="7" s="1"/>
  <c r="F75" i="7"/>
  <c r="G75" i="7" s="1"/>
  <c r="F77" i="7"/>
  <c r="G77" i="7" s="1"/>
  <c r="F79" i="7"/>
  <c r="G79" i="7" s="1"/>
  <c r="F81" i="7"/>
  <c r="G81" i="7" s="1"/>
  <c r="F83" i="7"/>
  <c r="G83" i="7" s="1"/>
  <c r="F85" i="7"/>
  <c r="G85" i="7" s="1"/>
  <c r="F87" i="7"/>
  <c r="G87" i="7" s="1"/>
  <c r="F89" i="7"/>
  <c r="G89" i="7" s="1"/>
  <c r="F91" i="7"/>
  <c r="G91" i="7" s="1"/>
  <c r="F93" i="7"/>
  <c r="G93" i="7" s="1"/>
  <c r="F95" i="7"/>
  <c r="G95" i="7" s="1"/>
  <c r="F97" i="7"/>
  <c r="G97" i="7" s="1"/>
  <c r="F99" i="7"/>
  <c r="G99" i="7" s="1"/>
  <c r="F101" i="7"/>
  <c r="G101" i="7" s="1"/>
  <c r="F103" i="7"/>
  <c r="G103" i="7" s="1"/>
  <c r="F105" i="7"/>
  <c r="G105" i="7" s="1"/>
  <c r="F107" i="7"/>
  <c r="G107" i="7" s="1"/>
  <c r="F109" i="7"/>
  <c r="G109" i="7" s="1"/>
  <c r="F111" i="7"/>
  <c r="G111" i="7" s="1"/>
  <c r="F113" i="7"/>
  <c r="G113" i="7" s="1"/>
  <c r="F115" i="7"/>
  <c r="G115" i="7" s="1"/>
  <c r="F117" i="7"/>
  <c r="G117" i="7" s="1"/>
  <c r="F119" i="7"/>
  <c r="G119" i="7" s="1"/>
  <c r="F121" i="7"/>
  <c r="G121" i="7" s="1"/>
  <c r="F123" i="7"/>
  <c r="G123" i="7" s="1"/>
  <c r="F125" i="7"/>
  <c r="G125" i="7" s="1"/>
  <c r="F127" i="7"/>
  <c r="G127" i="7" s="1"/>
  <c r="F129" i="7"/>
  <c r="G129" i="7" s="1"/>
  <c r="F131" i="7"/>
  <c r="G131" i="7" s="1"/>
  <c r="F133" i="7"/>
  <c r="G133" i="7" s="1"/>
  <c r="F135" i="7"/>
  <c r="G135" i="7" s="1"/>
  <c r="E7" i="6"/>
  <c r="D8" i="6"/>
  <c r="E8" i="6"/>
  <c r="E9" i="6"/>
  <c r="D10" i="6"/>
  <c r="E10" i="6" s="1"/>
  <c r="E11" i="6"/>
  <c r="F11" i="6"/>
  <c r="G11" i="6"/>
  <c r="D12" i="6"/>
  <c r="E12" i="6" s="1"/>
  <c r="E13" i="6"/>
  <c r="D14" i="6"/>
  <c r="E14" i="6" s="1"/>
  <c r="E15" i="6"/>
  <c r="E16" i="6"/>
  <c r="F16" i="6"/>
  <c r="G16" i="6"/>
  <c r="E17" i="6"/>
  <c r="F17" i="6"/>
  <c r="G17" i="6"/>
  <c r="D18" i="6"/>
  <c r="E18" i="6"/>
  <c r="F18" i="6"/>
  <c r="G18" i="6"/>
  <c r="E19" i="6"/>
  <c r="F19" i="6"/>
  <c r="G19" i="6"/>
  <c r="D20" i="6"/>
  <c r="E20" i="6"/>
  <c r="E21" i="6"/>
  <c r="F21" i="6"/>
  <c r="G21" i="6"/>
  <c r="D22" i="6"/>
  <c r="E22" i="6" s="1"/>
  <c r="E23" i="6"/>
  <c r="F23" i="6"/>
  <c r="G23" i="6"/>
  <c r="D24" i="6"/>
  <c r="E24" i="6" s="1"/>
  <c r="E25" i="6"/>
  <c r="D26" i="6"/>
  <c r="E26" i="6" s="1"/>
  <c r="E27" i="6"/>
  <c r="G27" i="6" s="1"/>
  <c r="F27" i="6"/>
  <c r="D28" i="6"/>
  <c r="E28" i="6" s="1"/>
  <c r="E29" i="6"/>
  <c r="F29" i="6"/>
  <c r="G29" i="6"/>
  <c r="D30" i="6"/>
  <c r="E30" i="6"/>
  <c r="E31" i="6"/>
  <c r="D32" i="6"/>
  <c r="E32" i="6"/>
  <c r="E33" i="6"/>
  <c r="E34" i="6"/>
  <c r="E35" i="6"/>
  <c r="G35" i="6" s="1"/>
  <c r="F35" i="6"/>
  <c r="D36" i="6"/>
  <c r="E36" i="6" s="1"/>
  <c r="E37" i="6"/>
  <c r="F37" i="6"/>
  <c r="G37" i="6"/>
  <c r="D38" i="6"/>
  <c r="E38" i="6"/>
  <c r="F38" i="6"/>
  <c r="G38" i="6"/>
  <c r="E39" i="6"/>
  <c r="F39" i="6"/>
  <c r="G39" i="6"/>
  <c r="D40" i="6"/>
  <c r="E40" i="6"/>
  <c r="F40" i="6"/>
  <c r="G40" i="6"/>
  <c r="E41" i="6"/>
  <c r="F41" i="6"/>
  <c r="G41" i="6"/>
  <c r="D42" i="6"/>
  <c r="E42" i="6"/>
  <c r="F42" i="6"/>
  <c r="G42" i="6"/>
  <c r="E7" i="5"/>
  <c r="F7" i="5"/>
  <c r="G7" i="5"/>
  <c r="D8" i="5"/>
  <c r="E8" i="5"/>
  <c r="F8" i="5"/>
  <c r="G8" i="5"/>
  <c r="E9" i="5"/>
  <c r="F9" i="5"/>
  <c r="G9" i="5"/>
  <c r="D10" i="5"/>
  <c r="E10" i="5" s="1"/>
  <c r="E11" i="5"/>
  <c r="D12" i="5"/>
  <c r="E12" i="5"/>
  <c r="E13" i="5"/>
  <c r="D14" i="5"/>
  <c r="E14" i="5" s="1"/>
  <c r="F15" i="5"/>
  <c r="G15" i="5"/>
  <c r="F16" i="5"/>
  <c r="G16" i="5"/>
  <c r="E17" i="5"/>
  <c r="D18" i="5"/>
  <c r="E18" i="5" s="1"/>
  <c r="E19" i="5"/>
  <c r="F19" i="5" s="1"/>
  <c r="G19" i="5"/>
  <c r="D20" i="5"/>
  <c r="E20" i="5" s="1"/>
  <c r="E21" i="5"/>
  <c r="F21" i="5"/>
  <c r="G21" i="5"/>
  <c r="D22" i="5"/>
  <c r="E22" i="5"/>
  <c r="F22" i="5"/>
  <c r="G22" i="5"/>
  <c r="E23" i="5"/>
  <c r="F23" i="5"/>
  <c r="G23" i="5"/>
  <c r="D24" i="5"/>
  <c r="E24" i="5"/>
  <c r="F24" i="5"/>
  <c r="G24" i="5"/>
  <c r="E25" i="5"/>
  <c r="F25" i="5"/>
  <c r="G25" i="5"/>
  <c r="D26" i="5"/>
  <c r="E26" i="5"/>
  <c r="F26" i="5"/>
  <c r="G26" i="5"/>
  <c r="E27" i="5"/>
  <c r="F27" i="5"/>
  <c r="G27" i="5"/>
  <c r="D28" i="5"/>
  <c r="E28" i="5"/>
  <c r="F28" i="5"/>
  <c r="G28" i="5"/>
  <c r="E29" i="5"/>
  <c r="F29" i="5"/>
  <c r="G29" i="5"/>
  <c r="D30" i="5"/>
  <c r="E30" i="5"/>
  <c r="F30" i="5"/>
  <c r="G30" i="5"/>
  <c r="E31" i="5"/>
  <c r="F31" i="5"/>
  <c r="G31" i="5"/>
  <c r="D32" i="5"/>
  <c r="E32" i="5"/>
  <c r="F32" i="5"/>
  <c r="G32" i="5"/>
  <c r="F33" i="5"/>
  <c r="G33" i="5"/>
  <c r="F34" i="5"/>
  <c r="G34" i="5"/>
  <c r="E35" i="5"/>
  <c r="D36" i="5"/>
  <c r="E36" i="5" s="1"/>
  <c r="E37" i="5"/>
  <c r="D38" i="5"/>
  <c r="E38" i="5" s="1"/>
  <c r="E39" i="5"/>
  <c r="D40" i="5"/>
  <c r="E40" i="5" s="1"/>
  <c r="E41" i="5"/>
  <c r="D42" i="5"/>
  <c r="E42" i="5" s="1"/>
  <c r="F7" i="2"/>
  <c r="F8" i="2"/>
  <c r="F9" i="2"/>
  <c r="F10" i="2"/>
  <c r="F11" i="2"/>
  <c r="F12" i="2"/>
  <c r="F13" i="2"/>
  <c r="G13" i="2"/>
  <c r="H13" i="2"/>
  <c r="F14" i="2"/>
  <c r="F15" i="2"/>
  <c r="F16" i="2"/>
  <c r="F17" i="2"/>
  <c r="G17" i="2" s="1"/>
  <c r="H17" i="2"/>
  <c r="F18" i="2"/>
  <c r="F19" i="2"/>
  <c r="F20" i="2"/>
  <c r="G20" i="2"/>
  <c r="H20" i="2"/>
  <c r="F21" i="2"/>
  <c r="F22" i="2"/>
  <c r="F25" i="2"/>
  <c r="G25" i="2" s="1"/>
  <c r="H25" i="2"/>
  <c r="F26" i="2"/>
  <c r="F27" i="2"/>
  <c r="G27" i="2" s="1"/>
  <c r="H27" i="2"/>
  <c r="F28" i="2"/>
  <c r="F29" i="2"/>
  <c r="H29" i="2" s="1"/>
  <c r="G29" i="2"/>
  <c r="F30" i="2"/>
  <c r="G30" i="2"/>
  <c r="H30" i="2"/>
  <c r="F31" i="2"/>
  <c r="G31" i="2"/>
  <c r="H31" i="2"/>
  <c r="F32" i="2"/>
  <c r="G32" i="2"/>
  <c r="H32" i="2"/>
  <c r="F33" i="2"/>
  <c r="G33" i="2"/>
  <c r="H33" i="2"/>
  <c r="F34" i="2"/>
  <c r="G34" i="2"/>
  <c r="H34" i="2"/>
  <c r="F35" i="2"/>
  <c r="G35" i="2"/>
  <c r="H35" i="2"/>
  <c r="F36" i="2"/>
  <c r="G36" i="2"/>
  <c r="H36" i="2"/>
  <c r="F37" i="2"/>
  <c r="G37" i="2"/>
  <c r="H37" i="2"/>
  <c r="F38" i="2"/>
  <c r="G38" i="2"/>
  <c r="H38" i="2"/>
  <c r="F39" i="2"/>
  <c r="G39" i="2"/>
  <c r="H39" i="2"/>
  <c r="F40" i="2"/>
  <c r="G40" i="2"/>
  <c r="H40" i="2"/>
  <c r="F7" i="1"/>
  <c r="G7" i="1" s="1"/>
  <c r="H7" i="1"/>
  <c r="F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3" i="1"/>
  <c r="H23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H39" i="1" s="1"/>
  <c r="G39" i="1"/>
  <c r="F40" i="1"/>
  <c r="G41" i="1"/>
  <c r="H41" i="1"/>
  <c r="G42" i="1"/>
  <c r="H42" i="1"/>
  <c r="N129" i="9" l="1"/>
  <c r="M129" i="9"/>
  <c r="M121" i="9"/>
  <c r="N121" i="9"/>
  <c r="N127" i="9"/>
  <c r="M127" i="9"/>
  <c r="N125" i="9"/>
  <c r="M125" i="9"/>
  <c r="M123" i="9"/>
  <c r="N123" i="9"/>
  <c r="M119" i="9"/>
  <c r="N119" i="9"/>
  <c r="M117" i="9"/>
  <c r="N117" i="9"/>
  <c r="M115" i="9"/>
  <c r="N115" i="9"/>
  <c r="M113" i="9"/>
  <c r="N113" i="9"/>
  <c r="M111" i="9"/>
  <c r="N111" i="9"/>
  <c r="M109" i="9"/>
  <c r="N109" i="9"/>
  <c r="M107" i="9"/>
  <c r="N107" i="9"/>
  <c r="N105" i="9"/>
  <c r="M105" i="9"/>
  <c r="N103" i="9"/>
  <c r="M103" i="9"/>
  <c r="N101" i="9"/>
  <c r="M101" i="9"/>
  <c r="N100" i="9"/>
  <c r="M100" i="9"/>
  <c r="N99" i="9"/>
  <c r="M99" i="9"/>
  <c r="N97" i="9"/>
  <c r="M97" i="9"/>
  <c r="M95" i="9"/>
  <c r="N95" i="9"/>
  <c r="N93" i="9"/>
  <c r="M93" i="9"/>
  <c r="N91" i="9"/>
  <c r="M91" i="9"/>
  <c r="N89" i="9"/>
  <c r="M89" i="9"/>
  <c r="N87" i="9"/>
  <c r="M87" i="9"/>
  <c r="N85" i="9"/>
  <c r="M85" i="9"/>
  <c r="N83" i="9"/>
  <c r="M83" i="9"/>
  <c r="N81" i="9"/>
  <c r="M81" i="9"/>
  <c r="M79" i="9"/>
  <c r="N79" i="9"/>
  <c r="N77" i="9"/>
  <c r="M77" i="9"/>
  <c r="N75" i="9"/>
  <c r="M75" i="9"/>
  <c r="M73" i="9"/>
  <c r="N73" i="9"/>
  <c r="M71" i="9"/>
  <c r="N71" i="9"/>
  <c r="M69" i="9"/>
  <c r="N69" i="9"/>
  <c r="M68" i="9"/>
  <c r="N68" i="9"/>
  <c r="M67" i="9"/>
  <c r="N67" i="9"/>
  <c r="N36" i="9"/>
  <c r="M36" i="9"/>
  <c r="M31" i="9"/>
  <c r="N31" i="9"/>
  <c r="M23" i="9"/>
  <c r="N23" i="9"/>
  <c r="N35" i="9"/>
  <c r="M35" i="9"/>
  <c r="M49" i="9"/>
  <c r="N49" i="9"/>
  <c r="M57" i="9"/>
  <c r="N57" i="9"/>
  <c r="N4" i="9"/>
  <c r="M4" i="9"/>
  <c r="M5" i="9"/>
  <c r="N5" i="9"/>
  <c r="N7" i="9"/>
  <c r="M7" i="9"/>
  <c r="M9" i="9"/>
  <c r="N9" i="9"/>
  <c r="M11" i="9"/>
  <c r="N11" i="9"/>
  <c r="N13" i="9"/>
  <c r="M13" i="9"/>
  <c r="N15" i="9"/>
  <c r="M15" i="9"/>
  <c r="M17" i="9"/>
  <c r="N17" i="9"/>
  <c r="M19" i="9"/>
  <c r="N19" i="9"/>
  <c r="M21" i="9"/>
  <c r="N21" i="9"/>
  <c r="M25" i="9"/>
  <c r="N25" i="9"/>
  <c r="N27" i="9"/>
  <c r="M27" i="9"/>
  <c r="N29" i="9"/>
  <c r="M29" i="9"/>
  <c r="N33" i="9"/>
  <c r="M33" i="9"/>
  <c r="M37" i="9"/>
  <c r="N37" i="9"/>
  <c r="M39" i="9"/>
  <c r="N39" i="9"/>
  <c r="M41" i="9"/>
  <c r="N41" i="9"/>
  <c r="M43" i="9"/>
  <c r="N43" i="9"/>
  <c r="M45" i="9"/>
  <c r="N45" i="9"/>
  <c r="N47" i="9"/>
  <c r="M47" i="9"/>
  <c r="N51" i="9"/>
  <c r="M51" i="9"/>
  <c r="N53" i="9"/>
  <c r="M53" i="9"/>
  <c r="N55" i="9"/>
  <c r="M55" i="9"/>
  <c r="N59" i="9"/>
  <c r="M59" i="9"/>
  <c r="M61" i="9"/>
  <c r="N61" i="9"/>
  <c r="M63" i="9"/>
  <c r="N63" i="9"/>
  <c r="M65" i="9"/>
  <c r="N65" i="9"/>
  <c r="N3" i="9"/>
  <c r="M3" i="9"/>
  <c r="H10" i="7"/>
  <c r="I10" i="7"/>
  <c r="H26" i="7"/>
  <c r="I26" i="7"/>
  <c r="I42" i="7"/>
  <c r="H42" i="7"/>
  <c r="I9" i="7"/>
  <c r="H9" i="7"/>
  <c r="H41" i="7"/>
  <c r="I41" i="7"/>
  <c r="H15" i="7"/>
  <c r="I15" i="7"/>
  <c r="I40" i="7"/>
  <c r="H40" i="7"/>
  <c r="I69" i="7"/>
  <c r="H69" i="7"/>
  <c r="I12" i="7"/>
  <c r="H12" i="7"/>
  <c r="H27" i="7"/>
  <c r="I27" i="7"/>
  <c r="I37" i="7"/>
  <c r="H37" i="7"/>
  <c r="H38" i="7"/>
  <c r="I38" i="7"/>
  <c r="H43" i="7"/>
  <c r="I43" i="7"/>
  <c r="I44" i="7"/>
  <c r="H44" i="7"/>
  <c r="I45" i="7"/>
  <c r="H45" i="7"/>
  <c r="H48" i="7"/>
  <c r="I48" i="7"/>
  <c r="H49" i="7"/>
  <c r="I49" i="7"/>
  <c r="H70" i="7"/>
  <c r="I70" i="7"/>
  <c r="I14" i="7"/>
  <c r="H14" i="7"/>
  <c r="H24" i="7"/>
  <c r="I24" i="7"/>
  <c r="I50" i="7"/>
  <c r="H50" i="7"/>
  <c r="H51" i="7"/>
  <c r="I51" i="7"/>
  <c r="H17" i="7"/>
  <c r="I17" i="7"/>
  <c r="H29" i="7"/>
  <c r="I29" i="7"/>
  <c r="I46" i="7"/>
  <c r="H46" i="7"/>
  <c r="I47" i="7"/>
  <c r="H47" i="7"/>
  <c r="H53" i="7"/>
  <c r="I53" i="7"/>
  <c r="I132" i="7"/>
  <c r="H132" i="7"/>
  <c r="I84" i="7"/>
  <c r="H84" i="7"/>
  <c r="H86" i="7"/>
  <c r="I86" i="7"/>
  <c r="I72" i="7"/>
  <c r="H72" i="7"/>
  <c r="H16" i="7"/>
  <c r="I16" i="7"/>
  <c r="I8" i="7"/>
  <c r="H8" i="7"/>
  <c r="H122" i="7"/>
  <c r="I122" i="7"/>
  <c r="H116" i="7"/>
  <c r="I116" i="7"/>
  <c r="H115" i="7"/>
  <c r="I115" i="7"/>
  <c r="I112" i="7"/>
  <c r="H112" i="7"/>
  <c r="H110" i="7"/>
  <c r="I110" i="7"/>
  <c r="I108" i="7"/>
  <c r="H108" i="7"/>
  <c r="H99" i="7"/>
  <c r="I99" i="7"/>
  <c r="H98" i="7"/>
  <c r="I98" i="7"/>
  <c r="I96" i="7"/>
  <c r="H96" i="7"/>
  <c r="H80" i="7"/>
  <c r="I80" i="7"/>
  <c r="H74" i="7"/>
  <c r="I74" i="7"/>
  <c r="H75" i="7"/>
  <c r="I75" i="7"/>
  <c r="H76" i="7"/>
  <c r="I76" i="7"/>
  <c r="H77" i="7"/>
  <c r="I77" i="7"/>
  <c r="H78" i="7"/>
  <c r="I78" i="7"/>
  <c r="H79" i="7"/>
  <c r="I79" i="7"/>
  <c r="I73" i="7"/>
  <c r="H73" i="7"/>
  <c r="H19" i="7"/>
  <c r="I19" i="7"/>
  <c r="I20" i="7"/>
  <c r="H20" i="7"/>
  <c r="I21" i="7"/>
  <c r="H21" i="7"/>
  <c r="I22" i="7"/>
  <c r="H22" i="7"/>
  <c r="I23" i="7"/>
  <c r="H23" i="7"/>
  <c r="H28" i="7"/>
  <c r="I28" i="7"/>
  <c r="H30" i="7"/>
  <c r="I30" i="7"/>
  <c r="I31" i="7"/>
  <c r="H31" i="7"/>
  <c r="I33" i="7"/>
  <c r="H33" i="7"/>
  <c r="H34" i="7"/>
  <c r="I34" i="7"/>
  <c r="H35" i="7"/>
  <c r="I35" i="7"/>
  <c r="I36" i="7"/>
  <c r="H36" i="7"/>
  <c r="H39" i="7"/>
  <c r="I39" i="7"/>
  <c r="H54" i="7"/>
  <c r="I54" i="7"/>
  <c r="I55" i="7"/>
  <c r="H55" i="7"/>
  <c r="I57" i="7"/>
  <c r="H57" i="7"/>
  <c r="I58" i="7"/>
  <c r="H58" i="7"/>
  <c r="I59" i="7"/>
  <c r="H59" i="7"/>
  <c r="H60" i="7"/>
  <c r="I60" i="7"/>
  <c r="H61" i="7"/>
  <c r="I61" i="7"/>
  <c r="H62" i="7"/>
  <c r="I62" i="7"/>
  <c r="H63" i="7"/>
  <c r="I63" i="7"/>
  <c r="H64" i="7"/>
  <c r="I64" i="7"/>
  <c r="I65" i="7"/>
  <c r="H65" i="7"/>
  <c r="H66" i="7"/>
  <c r="I66" i="7"/>
  <c r="I67" i="7"/>
  <c r="H67" i="7"/>
  <c r="H68" i="7"/>
  <c r="I68" i="7"/>
  <c r="H81" i="7"/>
  <c r="I81" i="7"/>
  <c r="H83" i="7"/>
  <c r="I83" i="7"/>
  <c r="H85" i="7"/>
  <c r="I85" i="7"/>
  <c r="H89" i="7"/>
  <c r="I89" i="7"/>
  <c r="H91" i="7"/>
  <c r="I91" i="7"/>
  <c r="I94" i="7"/>
  <c r="H94" i="7"/>
  <c r="I95" i="7"/>
  <c r="H95" i="7"/>
  <c r="I100" i="7"/>
  <c r="H100" i="7"/>
  <c r="I101" i="7"/>
  <c r="H101" i="7"/>
  <c r="H102" i="7"/>
  <c r="I102" i="7"/>
  <c r="I104" i="7"/>
  <c r="H104" i="7"/>
  <c r="I111" i="7"/>
  <c r="H111" i="7"/>
  <c r="I118" i="7"/>
  <c r="H118" i="7"/>
  <c r="I82" i="7"/>
  <c r="H82" i="7"/>
  <c r="I87" i="7"/>
  <c r="H87" i="7"/>
  <c r="H88" i="7"/>
  <c r="I88" i="7"/>
  <c r="H92" i="7"/>
  <c r="I92" i="7"/>
  <c r="I93" i="7"/>
  <c r="H93" i="7"/>
  <c r="H97" i="7"/>
  <c r="I97" i="7"/>
  <c r="H103" i="7"/>
  <c r="I103" i="7"/>
  <c r="H105" i="7"/>
  <c r="I105" i="7"/>
  <c r="H106" i="7"/>
  <c r="I106" i="7"/>
  <c r="I107" i="7"/>
  <c r="H107" i="7"/>
  <c r="H109" i="7"/>
  <c r="I109" i="7"/>
  <c r="I113" i="7"/>
  <c r="H113" i="7"/>
  <c r="I114" i="7"/>
  <c r="H114" i="7"/>
  <c r="H117" i="7"/>
  <c r="I117" i="7"/>
  <c r="I119" i="7"/>
  <c r="H119" i="7"/>
  <c r="H120" i="7"/>
  <c r="I120" i="7"/>
  <c r="H121" i="7"/>
  <c r="I121" i="7"/>
  <c r="H123" i="7"/>
  <c r="I123" i="7"/>
  <c r="H126" i="7"/>
  <c r="I126" i="7"/>
  <c r="I127" i="7"/>
  <c r="H127" i="7"/>
  <c r="H128" i="7"/>
  <c r="I128" i="7"/>
  <c r="H129" i="7"/>
  <c r="I129" i="7"/>
  <c r="H130" i="7"/>
  <c r="I130" i="7"/>
  <c r="G8" i="1"/>
  <c r="H8" i="1"/>
  <c r="G22" i="1"/>
  <c r="H22" i="1"/>
  <c r="I90" i="7"/>
  <c r="H90" i="7"/>
  <c r="I124" i="7"/>
  <c r="H124" i="7"/>
  <c r="H125" i="7"/>
  <c r="I125" i="7"/>
  <c r="H131" i="7"/>
  <c r="I131" i="7"/>
  <c r="H133" i="7"/>
  <c r="I133" i="7"/>
  <c r="I134" i="7"/>
  <c r="H134" i="7"/>
  <c r="I135" i="7"/>
  <c r="H135" i="7"/>
  <c r="F7" i="6"/>
  <c r="G7" i="6"/>
  <c r="F8" i="6"/>
  <c r="G8" i="6"/>
  <c r="F9" i="6"/>
  <c r="G9" i="6"/>
  <c r="F10" i="6"/>
  <c r="G10" i="6"/>
  <c r="G12" i="6"/>
  <c r="F12" i="6"/>
  <c r="G13" i="6"/>
  <c r="F13" i="6"/>
  <c r="G14" i="6"/>
  <c r="F14" i="6"/>
  <c r="F15" i="6"/>
  <c r="G15" i="6"/>
  <c r="G20" i="6"/>
  <c r="F20" i="6"/>
  <c r="F22" i="6"/>
  <c r="G22" i="6"/>
  <c r="G24" i="6"/>
  <c r="F24" i="6"/>
  <c r="F25" i="6"/>
  <c r="G25" i="6"/>
  <c r="F26" i="6"/>
  <c r="G26" i="6"/>
  <c r="G28" i="6"/>
  <c r="F28" i="6"/>
  <c r="G30" i="6"/>
  <c r="F30" i="6"/>
  <c r="G31" i="6"/>
  <c r="F31" i="6"/>
  <c r="G32" i="6"/>
  <c r="F32" i="6"/>
  <c r="G33" i="6"/>
  <c r="F33" i="6"/>
  <c r="F34" i="6"/>
  <c r="G34" i="6"/>
  <c r="G36" i="6"/>
  <c r="F36" i="6"/>
  <c r="F10" i="5"/>
  <c r="G10" i="5"/>
  <c r="F11" i="5"/>
  <c r="G11" i="5"/>
  <c r="G12" i="5"/>
  <c r="F12" i="5"/>
  <c r="F13" i="5"/>
  <c r="G13" i="5"/>
  <c r="F14" i="5"/>
  <c r="G14" i="5"/>
  <c r="G17" i="5"/>
  <c r="F17" i="5"/>
  <c r="F18" i="5"/>
  <c r="G18" i="5"/>
  <c r="G20" i="5"/>
  <c r="F20" i="5"/>
  <c r="G35" i="5"/>
  <c r="F35" i="5"/>
  <c r="F36" i="5"/>
  <c r="G36" i="5"/>
  <c r="F37" i="5"/>
  <c r="G37" i="5"/>
  <c r="F38" i="5"/>
  <c r="G38" i="5"/>
  <c r="G39" i="5"/>
  <c r="F39" i="5"/>
  <c r="G40" i="5"/>
  <c r="F40" i="5"/>
  <c r="F41" i="5"/>
  <c r="G41" i="5"/>
  <c r="F42" i="5"/>
  <c r="G42" i="5"/>
  <c r="G7" i="2"/>
  <c r="H7" i="2"/>
  <c r="H8" i="2"/>
  <c r="G8" i="2"/>
  <c r="H9" i="2"/>
  <c r="G9" i="2"/>
  <c r="H10" i="2"/>
  <c r="G10" i="2"/>
  <c r="G11" i="2"/>
  <c r="H11" i="2"/>
  <c r="G12" i="2"/>
  <c r="H12" i="2"/>
  <c r="H14" i="2"/>
  <c r="G14" i="2"/>
  <c r="G15" i="2"/>
  <c r="H15" i="2"/>
  <c r="G16" i="2"/>
  <c r="H16" i="2"/>
  <c r="G18" i="2"/>
  <c r="H18" i="2"/>
  <c r="G19" i="2"/>
  <c r="H19" i="2"/>
  <c r="H21" i="2"/>
  <c r="G21" i="2"/>
  <c r="G22" i="2"/>
  <c r="H22" i="2"/>
  <c r="G26" i="2"/>
  <c r="H26" i="2"/>
  <c r="H28" i="2"/>
  <c r="G28" i="2"/>
  <c r="H40" i="1"/>
  <c r="G40" i="1"/>
</calcChain>
</file>

<file path=xl/sharedStrings.xml><?xml version="1.0" encoding="utf-8"?>
<sst xmlns="http://schemas.openxmlformats.org/spreadsheetml/2006/main" count="3646" uniqueCount="320">
  <si>
    <t>COMMON</t>
  </si>
  <si>
    <t>Module Power / Common Return Terminal</t>
  </si>
  <si>
    <t>-</t>
  </si>
  <si>
    <t>Internal Power Common</t>
  </si>
  <si>
    <t>IS-JB-603</t>
  </si>
  <si>
    <t>0VDC</t>
  </si>
  <si>
    <t>GND1</t>
  </si>
  <si>
    <t>SPARE</t>
  </si>
  <si>
    <t>Spare Reserve Channel</t>
  </si>
  <si>
    <t>Spare</t>
  </si>
  <si>
    <t>Spare_DI_0</t>
  </si>
  <si>
    <t>IS-JB-608</t>
  </si>
  <si>
    <t>M16</t>
  </si>
  <si>
    <t>P4-TBSI2</t>
  </si>
  <si>
    <t>IN-31</t>
  </si>
  <si>
    <t>M15</t>
  </si>
  <si>
    <t>IN-30</t>
  </si>
  <si>
    <t>M14</t>
  </si>
  <si>
    <t>IN-29</t>
  </si>
  <si>
    <t>M13</t>
  </si>
  <si>
    <t>IN-28</t>
  </si>
  <si>
    <t>M12</t>
  </si>
  <si>
    <t>IN-27</t>
  </si>
  <si>
    <t>M11</t>
  </si>
  <si>
    <t>IN-26</t>
  </si>
  <si>
    <t>M10</t>
  </si>
  <si>
    <t>IN-25</t>
  </si>
  <si>
    <t>M9</t>
  </si>
  <si>
    <t>IN-24</t>
  </si>
  <si>
    <t>M8</t>
  </si>
  <si>
    <t>IN-23</t>
  </si>
  <si>
    <t>ACTIVE</t>
  </si>
  <si>
    <t>Process Instrument</t>
  </si>
  <si>
    <t>ZS-60240</t>
  </si>
  <si>
    <t>ZS-60240_DI_1</t>
  </si>
  <si>
    <t>M7</t>
  </si>
  <si>
    <t>IN-22</t>
  </si>
  <si>
    <t>ZS-60231F</t>
  </si>
  <si>
    <t>ZS-60231F_DI_1</t>
  </si>
  <si>
    <t>M6</t>
  </si>
  <si>
    <t>IN-21</t>
  </si>
  <si>
    <t>ZS-60231E</t>
  </si>
  <si>
    <t>ZS-60231E_DI_1</t>
  </si>
  <si>
    <t>M5</t>
  </si>
  <si>
    <t>IN-20</t>
  </si>
  <si>
    <t>ZS-60231D</t>
  </si>
  <si>
    <t>ZS-60231D_DI_1</t>
  </si>
  <si>
    <t>M4</t>
  </si>
  <si>
    <t>IN-19</t>
  </si>
  <si>
    <t>ZS-60231C</t>
  </si>
  <si>
    <t>ZS-60231C_DI_1</t>
  </si>
  <si>
    <t>M3</t>
  </si>
  <si>
    <t>IN-18</t>
  </si>
  <si>
    <t>ZS-60201B</t>
  </si>
  <si>
    <t>ZS-60201B_DI_1</t>
  </si>
  <si>
    <t>M2</t>
  </si>
  <si>
    <t>IN-17</t>
  </si>
  <si>
    <t>ZS-60201A</t>
  </si>
  <si>
    <t>ZS-60201A_DI_1</t>
  </si>
  <si>
    <t>M1</t>
  </si>
  <si>
    <t>IN-16</t>
  </si>
  <si>
    <t>GND-0</t>
  </si>
  <si>
    <t>P4-TBSI1</t>
  </si>
  <si>
    <t>IN-15</t>
  </si>
  <si>
    <t>ZS-60231B</t>
  </si>
  <si>
    <t>ZS-60231B_DI_1</t>
  </si>
  <si>
    <t>IN-14</t>
  </si>
  <si>
    <t>ZS-60231A</t>
  </si>
  <si>
    <t>ZS-60231A_DI_1</t>
  </si>
  <si>
    <t>IN-13</t>
  </si>
  <si>
    <t>ZS-60230</t>
  </si>
  <si>
    <t>ZS-60230_DI_1</t>
  </si>
  <si>
    <t>IN-12</t>
  </si>
  <si>
    <t>ZS-60229</t>
  </si>
  <si>
    <t>ZS-60229_DI_1</t>
  </si>
  <si>
    <t>IN-11</t>
  </si>
  <si>
    <t>ZS-60201E</t>
  </si>
  <si>
    <t>ZS-60201E_DI_1</t>
  </si>
  <si>
    <t>IN-10</t>
  </si>
  <si>
    <t>ZS-60201D</t>
  </si>
  <si>
    <t>ZS-60201D_DI_1</t>
  </si>
  <si>
    <t>IN-9</t>
  </si>
  <si>
    <t>ZS-60201C</t>
  </si>
  <si>
    <t>ZS-60201C_DI_1</t>
  </si>
  <si>
    <t>IN-8</t>
  </si>
  <si>
    <t>RV-60204</t>
  </si>
  <si>
    <t>RV-60204_DI_1</t>
  </si>
  <si>
    <t>IN-7</t>
  </si>
  <si>
    <t>PD-60202</t>
  </si>
  <si>
    <t>PD-60202_DI_1</t>
  </si>
  <si>
    <t>IN-6</t>
  </si>
  <si>
    <t>LSH-60240</t>
  </si>
  <si>
    <t>LSH-60240_DI_1</t>
  </si>
  <si>
    <t>IN-5</t>
  </si>
  <si>
    <t>LSH-60231</t>
  </si>
  <si>
    <t>LSH-60231_DI_1</t>
  </si>
  <si>
    <t>IN-4</t>
  </si>
  <si>
    <t>LSH-60230</t>
  </si>
  <si>
    <t>LSH-60230_DI_1</t>
  </si>
  <si>
    <t>IN-3</t>
  </si>
  <si>
    <t>AT-40203</t>
  </si>
  <si>
    <t>AT-40203_DI_1</t>
  </si>
  <si>
    <t>IN-2</t>
  </si>
  <si>
    <t>AT-40202</t>
  </si>
  <si>
    <t>AT-40202_DI_1</t>
  </si>
  <si>
    <t>IN-1</t>
  </si>
  <si>
    <t>AT-40201</t>
  </si>
  <si>
    <t>AT-40201_DI_1</t>
  </si>
  <si>
    <t>IN-0</t>
  </si>
  <si>
    <t>Channel_Status</t>
  </si>
  <si>
    <t>Instrument_Description</t>
  </si>
  <si>
    <t>Instrument_Tag</t>
  </si>
  <si>
    <t>PLC_Tag</t>
  </si>
  <si>
    <t>Destination_Area</t>
  </si>
  <si>
    <t>Terminal_Tag_Side</t>
  </si>
  <si>
    <t>PLC_Tag_Side</t>
  </si>
  <si>
    <t>Terminal_Number (Px-TBDIx-m)</t>
  </si>
  <si>
    <t>Terminal_Description</t>
  </si>
  <si>
    <t>Terminal_No</t>
  </si>
  <si>
    <t>← Back to Master Slot Directory (00_Slot_Index)</t>
  </si>
  <si>
    <t>← Back to Chassis Summary (C4SlotConfig)</t>
  </si>
  <si>
    <t>C4S1</t>
  </si>
  <si>
    <t>CHASSIS: C4   |   SLOT: 1   |   MODULE: 1756-IB32   |   DESTINATION AREA: IS-JB-603, IS-JB-608</t>
  </si>
  <si>
    <t>DIGITAL INPUT CARD (1756-IB32 32-CH 24VDC SINK/SOURCE)  |  LOCATION: FIELD RIO CABINET (SPRAY DRYER 6TH/8TH FLOOR)</t>
  </si>
  <si>
    <t>SLOT CONFIGURATION &amp; TERMINAL SCHEDULE --- C4S1</t>
  </si>
  <si>
    <t>IS-JB-612</t>
  </si>
  <si>
    <t>IS-JB-618</t>
  </si>
  <si>
    <t>P4-TBSI19</t>
  </si>
  <si>
    <t>P4-TBSI18</t>
  </si>
  <si>
    <t>P4-TBSI17</t>
  </si>
  <si>
    <t>ZS-61311</t>
  </si>
  <si>
    <t>ZS-61311_DI_1</t>
  </si>
  <si>
    <t>P4-TBSI16</t>
  </si>
  <si>
    <t>ZS-61310</t>
  </si>
  <si>
    <t>ZS-61310_DI_1</t>
  </si>
  <si>
    <t>P4-TBSI15</t>
  </si>
  <si>
    <t>PSV-61301B</t>
  </si>
  <si>
    <t>PSV-61301B_DI_1</t>
  </si>
  <si>
    <t>P4-TBSI14</t>
  </si>
  <si>
    <t>PSV-61301A</t>
  </si>
  <si>
    <t>PSV-61301A_DI_1</t>
  </si>
  <si>
    <t>P4-TBSI13</t>
  </si>
  <si>
    <t>PSE-61304</t>
  </si>
  <si>
    <t>PSE-61304_DI_1</t>
  </si>
  <si>
    <t>P4-TBSI12</t>
  </si>
  <si>
    <t>PSE-61301</t>
  </si>
  <si>
    <t>PSE-61301_DI_1</t>
  </si>
  <si>
    <t>P4-TBSI11</t>
  </si>
  <si>
    <t>PSE-61300</t>
  </si>
  <si>
    <t>PSE-61300_DI_1</t>
  </si>
  <si>
    <t>P4-TBSI10</t>
  </si>
  <si>
    <t>LSL-61302</t>
  </si>
  <si>
    <t>LSL-61302_DI_1</t>
  </si>
  <si>
    <t>P4-TBSI9</t>
  </si>
  <si>
    <t>LSH-61308</t>
  </si>
  <si>
    <t>LSH-61308_DI_1</t>
  </si>
  <si>
    <t>P4-TBSI8</t>
  </si>
  <si>
    <t>LSH-61306</t>
  </si>
  <si>
    <t>LSH-61306_DI_1</t>
  </si>
  <si>
    <t>P4-TBSI7</t>
  </si>
  <si>
    <t>LSH-61303</t>
  </si>
  <si>
    <t>LSH-61303_DI_1</t>
  </si>
  <si>
    <t>P4-TBSI6</t>
  </si>
  <si>
    <t>LSH-61301</t>
  </si>
  <si>
    <t>LSH-61301_DI_1</t>
  </si>
  <si>
    <t>P4-TBSI5</t>
  </si>
  <si>
    <t>ISV-61301</t>
  </si>
  <si>
    <t>ISV-61301_DI_1</t>
  </si>
  <si>
    <t>P4-TBSI4</t>
  </si>
  <si>
    <t>P4-TBSI3</t>
  </si>
  <si>
    <t>ZS-61313</t>
  </si>
  <si>
    <t>ZS-61313_DI_1</t>
  </si>
  <si>
    <t>ZS-61312</t>
  </si>
  <si>
    <t>ZS-61312_DI_1</t>
  </si>
  <si>
    <t>SC-61302</t>
  </si>
  <si>
    <t>SC-61302_DI_1</t>
  </si>
  <si>
    <t>SC-61301</t>
  </si>
  <si>
    <t>SC-61301_DI_1</t>
  </si>
  <si>
    <t>RV-61305</t>
  </si>
  <si>
    <t>RV-61305_DI_1</t>
  </si>
  <si>
    <t>RV-61304</t>
  </si>
  <si>
    <t>RV-61304_DI_1</t>
  </si>
  <si>
    <t>RV-61301</t>
  </si>
  <si>
    <t>RV-61301_DI_1</t>
  </si>
  <si>
    <t>PSE-61303</t>
  </si>
  <si>
    <t>PSE-61303_DI_1</t>
  </si>
  <si>
    <t>PSE-61302</t>
  </si>
  <si>
    <t>PSE-61302_DI_1</t>
  </si>
  <si>
    <t>LSH-61312</t>
  </si>
  <si>
    <t>LSH-61312_DI_1</t>
  </si>
  <si>
    <t>LSH-61307</t>
  </si>
  <si>
    <t>LSH-61307_DI_1</t>
  </si>
  <si>
    <t>LSH-61305</t>
  </si>
  <si>
    <t>LSH-61305_DI_1</t>
  </si>
  <si>
    <t>LSH-61304</t>
  </si>
  <si>
    <t>LSH-61304_DI_1</t>
  </si>
  <si>
    <t>ISV-61304</t>
  </si>
  <si>
    <t>ISV-61304_DI_1</t>
  </si>
  <si>
    <t>ISV-61303</t>
  </si>
  <si>
    <t>ISV-61303_DI_1</t>
  </si>
  <si>
    <t>C4S2</t>
  </si>
  <si>
    <t>CHASSIS: C4   |   SLOT: 2   |   MODULE: 1756-IB32   |   DESTINATION AREA: IS-JB-612</t>
  </si>
  <si>
    <t>SLOT CONFIGURATION &amp; TERMINAL SCHEDULE --- C4S2</t>
  </si>
  <si>
    <t>Spare_AI_0</t>
  </si>
  <si>
    <t>i RTN-15</t>
  </si>
  <si>
    <t>i RTN-14</t>
  </si>
  <si>
    <t>Speed / Position Transmitter</t>
  </si>
  <si>
    <t>XT-60201</t>
  </si>
  <si>
    <t>XT-60201_AI_1</t>
  </si>
  <si>
    <t>i RTN-13</t>
  </si>
  <si>
    <t>Temperature Transmitter</t>
  </si>
  <si>
    <t>TT-60223</t>
  </si>
  <si>
    <t>TT-60223_AI_1</t>
  </si>
  <si>
    <t>i RTN-12</t>
  </si>
  <si>
    <t>RTN</t>
  </si>
  <si>
    <t>TT-60222</t>
  </si>
  <si>
    <t>TT-60222_AI_1</t>
  </si>
  <si>
    <t>i RTN-11</t>
  </si>
  <si>
    <t>TT-60221</t>
  </si>
  <si>
    <t>TT-60221_AI_1</t>
  </si>
  <si>
    <t>i RTN-10</t>
  </si>
  <si>
    <t>TT-60220</t>
  </si>
  <si>
    <t>TT-60220_AI_1</t>
  </si>
  <si>
    <t>i RTN-9</t>
  </si>
  <si>
    <t>Pressure Transmitter</t>
  </si>
  <si>
    <t>PT-60220</t>
  </si>
  <si>
    <t>PT-60220_AI_1</t>
  </si>
  <si>
    <t>i RTN-8</t>
  </si>
  <si>
    <t>i RTN-7</t>
  </si>
  <si>
    <t>TT-60230</t>
  </si>
  <si>
    <t>TT-60230_AI_1</t>
  </si>
  <si>
    <t>i RTN-6</t>
  </si>
  <si>
    <t>TT-60227</t>
  </si>
  <si>
    <t>TT-60227_AI_1</t>
  </si>
  <si>
    <t>i RTN-5</t>
  </si>
  <si>
    <t>TT-60226</t>
  </si>
  <si>
    <t>TT-60226_AI_1</t>
  </si>
  <si>
    <t>i RTN-4</t>
  </si>
  <si>
    <t>TT-60225</t>
  </si>
  <si>
    <t>TT-60225_AI_1</t>
  </si>
  <si>
    <t>i RTN-3</t>
  </si>
  <si>
    <t>TT-60224</t>
  </si>
  <si>
    <t>TT-60224_AI_1</t>
  </si>
  <si>
    <t>i RTN-2</t>
  </si>
  <si>
    <t>PT-60231</t>
  </si>
  <si>
    <t>PT-60231_AI_1</t>
  </si>
  <si>
    <t>i RTN-1</t>
  </si>
  <si>
    <t>PT-60230</t>
  </si>
  <si>
    <t>PT-60230_AI_1</t>
  </si>
  <si>
    <t>i RTN-0</t>
  </si>
  <si>
    <t>Terminal_Number (Px-TBAIx-m)</t>
  </si>
  <si>
    <t>C1S5</t>
  </si>
  <si>
    <t>CHASSIS: C4   |   SLOT: 5   |   MODULE: 1756-IF16   |   DESTINATION AREA: IS-JB-603, IS-JB-608</t>
  </si>
  <si>
    <t>ANALOG INPUT CARD (1756-IF16 16-CH CURRENT/VOLTAGE)  |  LOCATION: FIELD RIO CABINET (SPRAY DRYER 6TH/8TH FLOOR)</t>
  </si>
  <si>
    <t>SLOT CONFIGURATION &amp; TERMINAL SCHEDULE --- C4S5</t>
  </si>
  <si>
    <t>TT-61302</t>
  </si>
  <si>
    <t>TT-61302_AI_1</t>
  </si>
  <si>
    <t>TT-61301</t>
  </si>
  <si>
    <t>TT-61301_AI_1</t>
  </si>
  <si>
    <t>PT-61305</t>
  </si>
  <si>
    <t>PT-61305_AI_1</t>
  </si>
  <si>
    <t>PT-61304</t>
  </si>
  <si>
    <t>PT-61304_AI_1</t>
  </si>
  <si>
    <t>PT-61303</t>
  </si>
  <si>
    <t>PT-61303_AI_1</t>
  </si>
  <si>
    <t>PT-61301</t>
  </si>
  <si>
    <t>PT-61301_AI_1</t>
  </si>
  <si>
    <t>Level Transmitter</t>
  </si>
  <si>
    <t>LT-61301</t>
  </si>
  <si>
    <t>LT-61301_AI_1</t>
  </si>
  <si>
    <t>Differential Pressure Transmitte</t>
  </si>
  <si>
    <t>DPT-61302</t>
  </si>
  <si>
    <t>DPT-61302_AI_1</t>
  </si>
  <si>
    <t>DPT-61301</t>
  </si>
  <si>
    <t>DPT-61301_AI_1</t>
  </si>
  <si>
    <t>Differential Pressure Transmitter</t>
  </si>
  <si>
    <t>DPT-61312</t>
  </si>
  <si>
    <t>DPT-61312_AI_1</t>
  </si>
  <si>
    <t>DPT-61310</t>
  </si>
  <si>
    <t>DPT-61310_AI_1</t>
  </si>
  <si>
    <t>C1S6</t>
  </si>
  <si>
    <t>CHASSIS: C4   |   SLOT: 6   |   MODULE: 1756-IF16   |   DESTINATION AREA: IS-JB-612, IS-JB-618</t>
  </si>
  <si>
    <t>SLOT CONFIGURATION &amp; TERMINAL SCHEDULE --- C4S6</t>
  </si>
  <si>
    <t>C1S1</t>
  </si>
  <si>
    <t>C1S2</t>
  </si>
  <si>
    <t>PNF-HiC2821</t>
  </si>
  <si>
    <t>Column1</t>
  </si>
  <si>
    <t>Column2</t>
  </si>
  <si>
    <t>Column3</t>
  </si>
  <si>
    <t>Column4</t>
  </si>
  <si>
    <t>PNF-HiC2025</t>
  </si>
  <si>
    <t>Column12</t>
  </si>
  <si>
    <t>IO-Type</t>
  </si>
  <si>
    <t>DI</t>
  </si>
  <si>
    <t>AI</t>
  </si>
  <si>
    <t>TBSI1</t>
  </si>
  <si>
    <t>P4</t>
  </si>
  <si>
    <t>N/C</t>
  </si>
  <si>
    <t>TBSI2</t>
  </si>
  <si>
    <t>2(1)</t>
  </si>
  <si>
    <t>Column5</t>
  </si>
  <si>
    <t>Column6</t>
  </si>
  <si>
    <t>Column8</t>
  </si>
  <si>
    <t>Column9</t>
  </si>
  <si>
    <t>Column10</t>
  </si>
  <si>
    <t>Column11</t>
  </si>
  <si>
    <t>Column15</t>
  </si>
  <si>
    <t>Column16</t>
  </si>
  <si>
    <t>Column17</t>
  </si>
  <si>
    <t>Column18</t>
  </si>
  <si>
    <t>Column19</t>
  </si>
  <si>
    <t>Column20</t>
  </si>
  <si>
    <t>Tag Terminal Side (Left)</t>
  </si>
  <si>
    <t>2(2)</t>
  </si>
  <si>
    <t>Need Mark</t>
  </si>
  <si>
    <t>Y</t>
  </si>
  <si>
    <t>Tag-Panel Side (Right)</t>
  </si>
  <si>
    <t>TB-24VDC</t>
  </si>
  <si>
    <t>TBSI3</t>
  </si>
  <si>
    <t>TBSI4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</si>
</sst>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8.5"/>
      <color rgb="FF475569"/>
      <name val="Arial"/>
      <family val="2"/>
    </font>
    <font>
      <sz val="9"/>
      <name val="Arial"/>
      <family val="2"/>
    </font>
    <font>
      <sz val="9"/>
      <color rgb="FF854D0E"/>
      <name val="Arial"/>
      <family val="2"/>
    </font>
    <font>
      <b/>
      <sz val="9"/>
      <color rgb="FF14532D"/>
      <name val="Arial"/>
      <family val="2"/>
    </font>
    <font>
      <b/>
      <sz val="9"/>
      <color rgb="FFFFFFFF"/>
      <name val="Arial"/>
      <family val="2"/>
    </font>
    <font>
      <i/>
      <u/>
      <sz val="8.5"/>
      <color rgb="FF475569"/>
      <name val="Arial"/>
      <family val="2"/>
    </font>
    <font>
      <b/>
      <u/>
      <sz val="8.5"/>
      <color rgb="FF1E40AF"/>
      <name val="Arial"/>
      <family val="2"/>
    </font>
    <font>
      <b/>
      <sz val="8.5"/>
      <color rgb="FF334155"/>
      <name val="Arial"/>
      <family val="2"/>
    </font>
    <font>
      <b/>
      <sz val="13"/>
      <color rgb="FFFFFFFF"/>
      <name val="Arial"/>
      <family val="2"/>
    </font>
    <font>
      <sz val="8.5"/>
      <color rgb="FF334155"/>
      <name val="Arial"/>
      <family val="2"/>
    </font>
    <font>
      <sz val="9"/>
      <color rgb="FF14532D"/>
      <name val="Arial"/>
      <family val="2"/>
    </font>
    <font>
      <sz val="8"/>
      <name val="Calibri"/>
      <family val="2"/>
      <scheme val="minor"/>
    </font>
    <font>
      <sz val="9"/>
      <color theme="9" tint="-0.249977111117893"/>
      <name val="Arial"/>
      <family val="2"/>
    </font>
    <font>
      <sz val="8.5"/>
      <color theme="9" tint="-0.249977111117893"/>
      <name val="Arial"/>
      <family val="2"/>
    </font>
    <font>
      <sz val="11"/>
      <color theme="9" tint="-0.249977111117893"/>
      <name val="Calibri"/>
      <family val="2"/>
      <scheme val="minor"/>
    </font>
    <font>
      <sz val="10"/>
      <color theme="1"/>
      <name val="Sarabun Regular"/>
    </font>
    <font>
      <sz val="10"/>
      <name val="Sarabun Regular"/>
    </font>
    <font>
      <sz val="10"/>
      <color rgb="FF334155"/>
      <name val="Sarabun Regular"/>
    </font>
    <font>
      <sz val="10"/>
      <color rgb="FF14532D"/>
      <name val="Sarabun Regular"/>
    </font>
  </fonts>
  <fills count="9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475569"/>
      </left>
      <right style="thin">
        <color rgb="FF47556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right" vertical="center"/>
    </xf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right" vertical="center"/>
    </xf>
    <xf numFmtId="0" fontId="5" fillId="7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 indent="1"/>
    </xf>
    <xf numFmtId="0" fontId="15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0" fontId="17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right"/>
    </xf>
    <xf numFmtId="0" fontId="17" fillId="0" borderId="0" xfId="0" applyFont="1" applyFill="1" applyBorder="1" applyAlignment="1">
      <alignment horizontal="right" vertical="center"/>
    </xf>
    <xf numFmtId="0" fontId="19" fillId="0" borderId="0" xfId="0" applyFont="1" applyFill="1" applyBorder="1" applyAlignment="1">
      <alignment vertical="center"/>
    </xf>
    <xf numFmtId="0" fontId="17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rabun Regular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rabun Regular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rabun Regular"/>
        <scheme val="none"/>
      </font>
      <fill>
        <patternFill patternType="none">
          <fgColor rgb="FFFFFFFF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ont>
        <b val="0"/>
      </font>
      <fill>
        <patternFill patternType="none">
          <fgColor indexed="64"/>
          <bgColor auto="1"/>
        </patternFill>
      </fill>
      <alignment horizontal="left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54D0E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334155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334155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E293B"/>
          <bgColor rgb="FF1E293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475569"/>
        </left>
        <right style="thin">
          <color rgb="FF475569"/>
        </right>
        <top/>
        <bottom/>
      </border>
    </dxf>
    <dxf>
      <border outline="0">
        <bottom style="medium">
          <color rgb="FF0F172A"/>
        </bottom>
      </border>
    </dxf>
    <dxf>
      <border outline="0">
        <top style="thin">
          <color rgb="FF475569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3AB02-C359-F042-ADE2-6FE9839AA74D}" name="Table1" displayName="Table1" ref="A7:O135" totalsRowShown="0" headerRowDxfId="38" dataDxfId="22" headerRowBorderDxfId="39" tableBorderDxfId="40">
  <autoFilter ref="A7:O135" xr:uid="{F4F3AB02-C359-F042-ADE2-6FE9839AA74D}"/>
  <tableColumns count="15">
    <tableColumn id="1" xr3:uid="{68104AE5-CA97-2542-B201-EDBA6513CFF2}" name="Terminal_No" dataDxfId="37"/>
    <tableColumn id="2" xr3:uid="{EA7039CE-DAC5-DE40-9420-55B6C7ECD88A}" name="Column1" dataDxfId="36"/>
    <tableColumn id="15" xr3:uid="{C609B05D-FD6F-5848-A5F3-A63EC6FFF141}" name="IO-Type" dataDxfId="35"/>
    <tableColumn id="3" xr3:uid="{E9DCFB35-95A2-354C-A316-DEC9F2736723}" name="Terminal_Description" dataDxfId="34"/>
    <tableColumn id="4" xr3:uid="{00FEFE5E-8A3B-AD44-8A40-8278ACCD3678}" name="Column2" dataDxfId="33"/>
    <tableColumn id="5" xr3:uid="{3783D3DC-9F65-1245-A684-A0C4ECCBDAFB}" name="Column3" dataDxfId="32"/>
    <tableColumn id="6" xr3:uid="{30C0E4CB-9A69-2D46-B94A-FAFF588D7633}" name="Terminal_Number (Px-TBAIx-m)" dataDxfId="31"/>
    <tableColumn id="7" xr3:uid="{ACB2319A-990F-BC47-AFC0-AEEAD369906F}" name="PLC_Tag_Side" dataDxfId="30">
      <calculatedColumnFormula>$A$4&amp;"-"&amp;A8&amp;"/"&amp;G8</calculatedColumnFormula>
    </tableColumn>
    <tableColumn id="8" xr3:uid="{CCBF6440-AF14-2849-9196-88EFBC5C3A53}" name="Terminal_Tag_Side" dataDxfId="29">
      <calculatedColumnFormula>G8&amp;"/"&amp;B8&amp;"-"&amp;A8</calculatedColumnFormula>
    </tableColumn>
    <tableColumn id="9" xr3:uid="{882E77CB-B094-A24B-8E2E-5DCE73A86FE9}" name="Destination_Area" dataDxfId="28"/>
    <tableColumn id="10" xr3:uid="{8A619382-DED3-1A42-B7FE-3D8B8AF25F8E}" name="Column4" dataDxfId="27"/>
    <tableColumn id="11" xr3:uid="{84A42904-74BA-2F41-97DA-BFC50A92CA2F}" name="PLC_Tag" dataDxfId="26"/>
    <tableColumn id="12" xr3:uid="{7E397FDB-33E7-644D-9277-3ECC90351093}" name="Instrument_Tag" dataDxfId="25"/>
    <tableColumn id="13" xr3:uid="{82373AE4-B1A7-774F-91F6-7B8B78C9B63B}" name="Instrument_Description" dataDxfId="24"/>
    <tableColumn id="14" xr3:uid="{D3FB03C6-C3B9-4D4B-B922-8FE7DECE5593}" name="Channel_Status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161B8F-4F3B-474F-9233-116F1CB484F2}" name="Table2" displayName="Table2" ref="A2:T130" totalsRowShown="0" headerRowDxfId="21" dataDxfId="20">
  <autoFilter ref="A2:T130" xr:uid="{FD161B8F-4F3B-474F-9233-116F1CB484F2}"/>
  <tableColumns count="20">
    <tableColumn id="1" xr3:uid="{CDC0D315-297B-3E48-B2E2-135A5E2383E2}" name="Column1" dataDxfId="19"/>
    <tableColumn id="2" xr3:uid="{98C4AC3B-B91D-5544-8B4D-331F86109E65}" name="Column2" dataDxfId="18"/>
    <tableColumn id="3" xr3:uid="{A9DFE5D8-E35E-DA45-84B1-F23794166A4D}" name="Column3" dataDxfId="17"/>
    <tableColumn id="4" xr3:uid="{4152514D-40F5-7246-AC1D-8E35987676A4}" name="Column4" dataDxfId="16"/>
    <tableColumn id="5" xr3:uid="{221B896D-6887-8248-BB94-B585A40E8C62}" name="Column5" dataDxfId="15"/>
    <tableColumn id="6" xr3:uid="{5ACC3641-4BE7-9840-A46E-EA813981C197}" name="Column6" dataDxfId="14"/>
    <tableColumn id="7" xr3:uid="{87DC618A-66F3-3644-A8F4-572CCF0755F9}" name="Need Mark" dataDxfId="13"/>
    <tableColumn id="8" xr3:uid="{3E94B1AC-9010-5C4E-AE4D-474536C00EC6}" name="Column8" dataDxfId="12"/>
    <tableColumn id="9" xr3:uid="{A9C07FEA-D1AC-6143-A2B5-6FEC230F5EA2}" name="Column9" dataDxfId="11"/>
    <tableColumn id="10" xr3:uid="{00F8A0E0-C588-4A4A-94F2-9433A0B3932D}" name="Column10" dataDxfId="10"/>
    <tableColumn id="11" xr3:uid="{EF10A572-E94E-4148-B7C0-5AD09C131ACC}" name="Column11" dataDxfId="9"/>
    <tableColumn id="12" xr3:uid="{79F5AB74-39F4-AC4C-AF04-79C802789036}" name="Column12" dataDxfId="8"/>
    <tableColumn id="13" xr3:uid="{B22D533B-25D5-614A-A98B-B33332FE13B1}" name="Tag-Panel Side (Right)" dataDxfId="7">
      <calculatedColumnFormula>IF(Table2[[#This Row],[Need Mark]]="Y",I3&amp;"-"&amp;J3&amp;"/"&amp;F3,"-")</calculatedColumnFormula>
    </tableColumn>
    <tableColumn id="14" xr3:uid="{FCCE7D3F-41B0-244E-A7E5-39268883AF92}" name="Tag Terminal Side (Left)" dataDxfId="6">
      <calculatedColumnFormula>IF(Table2[[#This Row],[Need Mark]]="Y",F3&amp;"/"&amp;I3&amp;"-"&amp;J3,"-")</calculatedColumnFormula>
    </tableColumn>
    <tableColumn id="15" xr3:uid="{2A48DE99-6F36-2946-B06E-616EFD5EDFC2}" name="Column15" dataDxfId="0">
      <calculatedColumnFormula>Table2[[#This Row],[Column3]]</calculatedColumnFormula>
    </tableColumn>
    <tableColumn id="16" xr3:uid="{322B9F0F-2D81-1748-8EE6-4820B8D2A37D}" name="Column16" dataDxfId="5"/>
    <tableColumn id="17" xr3:uid="{0729AE10-81FD-0E46-8C7B-7F49CB2FE415}" name="Column17" dataDxfId="4"/>
    <tableColumn id="18" xr3:uid="{3F11CD32-F021-6145-A082-B45AA93035AD}" name="Column18" dataDxfId="3"/>
    <tableColumn id="19" xr3:uid="{6557D76C-65B4-BC4E-A381-C3D8482DFE5C}" name="Column19" dataDxfId="2"/>
    <tableColumn id="20" xr3:uid="{CF3D089C-15A6-8840-B8D9-FE7F640F2CEC}" name="Column20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E30F-9855-104A-BE84-6C4CB02414B6}">
  <dimension ref="A1:M42"/>
  <sheetViews>
    <sheetView topLeftCell="A3" workbookViewId="0">
      <selection activeCell="A25" sqref="A25:A42"/>
    </sheetView>
  </sheetViews>
  <sheetFormatPr baseColWidth="10" defaultColWidth="8.83203125" defaultRowHeight="15"/>
  <cols>
    <col min="1" max="2" width="15" customWidth="1"/>
    <col min="3" max="5" width="24" customWidth="1"/>
    <col min="6" max="6" width="32" customWidth="1"/>
    <col min="7" max="8" width="23" customWidth="1"/>
    <col min="9" max="9" width="20" customWidth="1"/>
    <col min="10" max="10" width="25" customWidth="1"/>
    <col min="11" max="11" width="18" customWidth="1"/>
    <col min="12" max="12" width="41" customWidth="1"/>
    <col min="13" max="13" width="18" customWidth="1"/>
  </cols>
  <sheetData>
    <row r="1" spans="1:13" ht="25" customHeight="1">
      <c r="A1" s="15" t="s">
        <v>124</v>
      </c>
      <c r="B1" s="15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9" customHeight="1">
      <c r="A2" s="14" t="s">
        <v>123</v>
      </c>
      <c r="B2" s="14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8" customHeight="1">
      <c r="A3" s="13" t="s">
        <v>122</v>
      </c>
      <c r="B3" s="13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8" customHeight="1">
      <c r="A4" s="12" t="s">
        <v>121</v>
      </c>
      <c r="B4" s="12"/>
    </row>
    <row r="5" spans="1:13" ht="16" customHeight="1">
      <c r="A5" s="11" t="s">
        <v>120</v>
      </c>
      <c r="B5" s="11"/>
      <c r="C5" s="9"/>
      <c r="D5" s="9"/>
      <c r="E5" s="9"/>
      <c r="F5" s="9"/>
      <c r="G5" s="9"/>
      <c r="H5" s="10" t="s">
        <v>119</v>
      </c>
      <c r="I5" s="9"/>
      <c r="J5" s="9"/>
      <c r="K5" s="9"/>
      <c r="L5" s="9"/>
      <c r="M5" s="9"/>
    </row>
    <row r="6" spans="1:13" ht="22" customHeight="1" thickBot="1">
      <c r="A6" s="8" t="s">
        <v>118</v>
      </c>
      <c r="B6" s="8"/>
      <c r="C6" s="8" t="s">
        <v>117</v>
      </c>
      <c r="D6" s="8"/>
      <c r="E6" s="8"/>
      <c r="F6" s="8" t="s">
        <v>116</v>
      </c>
      <c r="G6" s="8" t="s">
        <v>115</v>
      </c>
      <c r="H6" s="8" t="s">
        <v>114</v>
      </c>
      <c r="I6" s="8" t="s">
        <v>113</v>
      </c>
      <c r="J6" s="8" t="s">
        <v>112</v>
      </c>
      <c r="K6" s="8" t="s">
        <v>111</v>
      </c>
      <c r="L6" s="8" t="s">
        <v>110</v>
      </c>
      <c r="M6" s="8" t="s">
        <v>109</v>
      </c>
    </row>
    <row r="7" spans="1:13" ht="19" customHeight="1">
      <c r="A7" s="5">
        <v>1</v>
      </c>
      <c r="B7" s="5"/>
      <c r="C7" s="5" t="s">
        <v>108</v>
      </c>
      <c r="D7" s="5" t="s">
        <v>62</v>
      </c>
      <c r="E7" s="5" t="s">
        <v>59</v>
      </c>
      <c r="F7" s="5" t="str">
        <f>D7&amp;"-"&amp;E7&amp;"(14)"</f>
        <v>P4-TBSI1-M1(14)</v>
      </c>
      <c r="G7" s="4" t="str">
        <f>$A$4&amp;"-"&amp;A7&amp;"/"&amp;F7</f>
        <v>C4S1-1/P4-TBSI1-M1(14)</v>
      </c>
      <c r="H7" s="4" t="str">
        <f>F7&amp;"/"&amp;$A$4&amp;"-"&amp;A7</f>
        <v>P4-TBSI1-M1(14)/C4S1-1</v>
      </c>
      <c r="I7" s="5" t="s">
        <v>4</v>
      </c>
      <c r="J7" s="4" t="s">
        <v>107</v>
      </c>
      <c r="K7" s="5" t="s">
        <v>106</v>
      </c>
      <c r="L7" s="4" t="s">
        <v>32</v>
      </c>
      <c r="M7" s="7" t="s">
        <v>31</v>
      </c>
    </row>
    <row r="8" spans="1:13" ht="19" customHeight="1">
      <c r="A8" s="3">
        <v>2</v>
      </c>
      <c r="B8" s="3"/>
      <c r="C8" s="3" t="s">
        <v>105</v>
      </c>
      <c r="D8" s="5" t="s">
        <v>62</v>
      </c>
      <c r="E8" s="5" t="s">
        <v>55</v>
      </c>
      <c r="F8" s="5" t="str">
        <f>D8&amp;"-"&amp;E8&amp;"(14)"</f>
        <v>P4-TBSI1-M2(14)</v>
      </c>
      <c r="G8" s="4" t="str">
        <f>$A$4&amp;"-"&amp;A8&amp;"/"&amp;F8</f>
        <v>C4S1-2/P4-TBSI1-M2(14)</v>
      </c>
      <c r="H8" s="4" t="str">
        <f>F8&amp;"/"&amp;$A$4&amp;"-"&amp;A8</f>
        <v>P4-TBSI1-M2(14)/C4S1-2</v>
      </c>
      <c r="I8" s="3" t="s">
        <v>4</v>
      </c>
      <c r="J8" s="2" t="s">
        <v>104</v>
      </c>
      <c r="K8" s="3" t="s">
        <v>103</v>
      </c>
      <c r="L8" s="2" t="s">
        <v>32</v>
      </c>
      <c r="M8" s="7" t="s">
        <v>31</v>
      </c>
    </row>
    <row r="9" spans="1:13" ht="19" customHeight="1">
      <c r="A9" s="5">
        <v>3</v>
      </c>
      <c r="B9" s="5"/>
      <c r="C9" s="5" t="s">
        <v>102</v>
      </c>
      <c r="D9" s="5" t="s">
        <v>62</v>
      </c>
      <c r="E9" s="5" t="s">
        <v>51</v>
      </c>
      <c r="F9" s="5" t="str">
        <f>D9&amp;"-"&amp;E9&amp;"(14)"</f>
        <v>P4-TBSI1-M3(14)</v>
      </c>
      <c r="G9" s="4" t="str">
        <f>$A$4&amp;"-"&amp;A9&amp;"/"&amp;F9</f>
        <v>C4S1-3/P4-TBSI1-M3(14)</v>
      </c>
      <c r="H9" s="4" t="str">
        <f>F9&amp;"/"&amp;$A$4&amp;"-"&amp;A9</f>
        <v>P4-TBSI1-M3(14)/C4S1-3</v>
      </c>
      <c r="I9" s="5" t="s">
        <v>4</v>
      </c>
      <c r="J9" s="4" t="s">
        <v>101</v>
      </c>
      <c r="K9" s="5" t="s">
        <v>100</v>
      </c>
      <c r="L9" s="4" t="s">
        <v>32</v>
      </c>
      <c r="M9" s="7" t="s">
        <v>31</v>
      </c>
    </row>
    <row r="10" spans="1:13" ht="19" customHeight="1">
      <c r="A10" s="3">
        <v>4</v>
      </c>
      <c r="B10" s="3"/>
      <c r="C10" s="3" t="s">
        <v>99</v>
      </c>
      <c r="D10" s="5" t="s">
        <v>62</v>
      </c>
      <c r="E10" s="5" t="s">
        <v>47</v>
      </c>
      <c r="F10" s="5" t="str">
        <f>D10&amp;"-"&amp;E10&amp;"(14)"</f>
        <v>P4-TBSI1-M4(14)</v>
      </c>
      <c r="G10" s="4" t="str">
        <f>$A$4&amp;"-"&amp;A10&amp;"/"&amp;F10</f>
        <v>C4S1-4/P4-TBSI1-M4(14)</v>
      </c>
      <c r="H10" s="4" t="str">
        <f>F10&amp;"/"&amp;$A$4&amp;"-"&amp;A10</f>
        <v>P4-TBSI1-M4(14)/C4S1-4</v>
      </c>
      <c r="I10" s="3" t="s">
        <v>4</v>
      </c>
      <c r="J10" s="2" t="s">
        <v>98</v>
      </c>
      <c r="K10" s="3" t="s">
        <v>97</v>
      </c>
      <c r="L10" s="2" t="s">
        <v>32</v>
      </c>
      <c r="M10" s="7" t="s">
        <v>31</v>
      </c>
    </row>
    <row r="11" spans="1:13" ht="19" customHeight="1">
      <c r="A11" s="5">
        <v>5</v>
      </c>
      <c r="B11" s="5"/>
      <c r="C11" s="5" t="s">
        <v>96</v>
      </c>
      <c r="D11" s="5" t="s">
        <v>62</v>
      </c>
      <c r="E11" s="5" t="s">
        <v>43</v>
      </c>
      <c r="F11" s="5" t="str">
        <f>D11&amp;"-"&amp;E11&amp;"(14)"</f>
        <v>P4-TBSI1-M5(14)</v>
      </c>
      <c r="G11" s="4" t="str">
        <f>$A$4&amp;"-"&amp;A11&amp;"/"&amp;F11</f>
        <v>C4S1-5/P4-TBSI1-M5(14)</v>
      </c>
      <c r="H11" s="4" t="str">
        <f>F11&amp;"/"&amp;$A$4&amp;"-"&amp;A11</f>
        <v>P4-TBSI1-M5(14)/C4S1-5</v>
      </c>
      <c r="I11" s="5" t="s">
        <v>4</v>
      </c>
      <c r="J11" s="4" t="s">
        <v>95</v>
      </c>
      <c r="K11" s="5" t="s">
        <v>94</v>
      </c>
      <c r="L11" s="4" t="s">
        <v>32</v>
      </c>
      <c r="M11" s="7" t="s">
        <v>31</v>
      </c>
    </row>
    <row r="12" spans="1:13" ht="19" customHeight="1">
      <c r="A12" s="3">
        <v>6</v>
      </c>
      <c r="B12" s="3"/>
      <c r="C12" s="3" t="s">
        <v>93</v>
      </c>
      <c r="D12" s="5" t="s">
        <v>62</v>
      </c>
      <c r="E12" s="5" t="s">
        <v>39</v>
      </c>
      <c r="F12" s="5" t="str">
        <f>D12&amp;"-"&amp;E12&amp;"(14)"</f>
        <v>P4-TBSI1-M6(14)</v>
      </c>
      <c r="G12" s="4" t="str">
        <f>$A$4&amp;"-"&amp;A12&amp;"/"&amp;F12</f>
        <v>C4S1-6/P4-TBSI1-M6(14)</v>
      </c>
      <c r="H12" s="4" t="str">
        <f>F12&amp;"/"&amp;$A$4&amp;"-"&amp;A12</f>
        <v>P4-TBSI1-M6(14)/C4S1-6</v>
      </c>
      <c r="I12" s="3" t="s">
        <v>4</v>
      </c>
      <c r="J12" s="2" t="s">
        <v>92</v>
      </c>
      <c r="K12" s="3" t="s">
        <v>91</v>
      </c>
      <c r="L12" s="2" t="s">
        <v>32</v>
      </c>
      <c r="M12" s="7" t="s">
        <v>31</v>
      </c>
    </row>
    <row r="13" spans="1:13" ht="19" customHeight="1">
      <c r="A13" s="5">
        <v>7</v>
      </c>
      <c r="B13" s="5"/>
      <c r="C13" s="5" t="s">
        <v>90</v>
      </c>
      <c r="D13" s="5" t="s">
        <v>62</v>
      </c>
      <c r="E13" s="5" t="s">
        <v>35</v>
      </c>
      <c r="F13" s="5" t="str">
        <f>D13&amp;"-"&amp;E13&amp;"(14)"</f>
        <v>P4-TBSI1-M7(14)</v>
      </c>
      <c r="G13" s="4" t="str">
        <f>$A$4&amp;"-"&amp;A13&amp;"/"&amp;F13</f>
        <v>C4S1-7/P4-TBSI1-M7(14)</v>
      </c>
      <c r="H13" s="4" t="str">
        <f>F13&amp;"/"&amp;$A$4&amp;"-"&amp;A13</f>
        <v>P4-TBSI1-M7(14)/C4S1-7</v>
      </c>
      <c r="I13" s="5" t="s">
        <v>4</v>
      </c>
      <c r="J13" s="4" t="s">
        <v>89</v>
      </c>
      <c r="K13" s="5" t="s">
        <v>88</v>
      </c>
      <c r="L13" s="4" t="s">
        <v>32</v>
      </c>
      <c r="M13" s="7" t="s">
        <v>31</v>
      </c>
    </row>
    <row r="14" spans="1:13" ht="19" customHeight="1">
      <c r="A14" s="3">
        <v>8</v>
      </c>
      <c r="B14" s="3"/>
      <c r="C14" s="3" t="s">
        <v>87</v>
      </c>
      <c r="D14" s="5" t="s">
        <v>62</v>
      </c>
      <c r="E14" s="5" t="s">
        <v>29</v>
      </c>
      <c r="F14" s="5" t="str">
        <f>D14&amp;"-"&amp;E14&amp;"(14)"</f>
        <v>P4-TBSI1-M8(14)</v>
      </c>
      <c r="G14" s="4" t="str">
        <f>$A$4&amp;"-"&amp;A14&amp;"/"&amp;F14</f>
        <v>C4S1-8/P4-TBSI1-M8(14)</v>
      </c>
      <c r="H14" s="4" t="str">
        <f>F14&amp;"/"&amp;$A$4&amp;"-"&amp;A14</f>
        <v>P4-TBSI1-M8(14)/C4S1-8</v>
      </c>
      <c r="I14" s="3" t="s">
        <v>4</v>
      </c>
      <c r="J14" s="2" t="s">
        <v>86</v>
      </c>
      <c r="K14" s="3" t="s">
        <v>85</v>
      </c>
      <c r="L14" s="2" t="s">
        <v>32</v>
      </c>
      <c r="M14" s="7" t="s">
        <v>31</v>
      </c>
    </row>
    <row r="15" spans="1:13" ht="19" customHeight="1">
      <c r="A15" s="5">
        <v>9</v>
      </c>
      <c r="B15" s="5"/>
      <c r="C15" s="5" t="s">
        <v>84</v>
      </c>
      <c r="D15" s="5" t="s">
        <v>62</v>
      </c>
      <c r="E15" s="5" t="s">
        <v>27</v>
      </c>
      <c r="F15" s="5" t="str">
        <f>D15&amp;"-"&amp;E15&amp;"(14)"</f>
        <v>P4-TBSI1-M9(14)</v>
      </c>
      <c r="G15" s="4" t="str">
        <f>$A$4&amp;"-"&amp;A15&amp;"/"&amp;F15</f>
        <v>C4S1-9/P4-TBSI1-M9(14)</v>
      </c>
      <c r="H15" s="4" t="str">
        <f>F15&amp;"/"&amp;$A$4&amp;"-"&amp;A15</f>
        <v>P4-TBSI1-M9(14)/C4S1-9</v>
      </c>
      <c r="I15" s="5" t="s">
        <v>4</v>
      </c>
      <c r="J15" s="4" t="s">
        <v>83</v>
      </c>
      <c r="K15" s="5" t="s">
        <v>82</v>
      </c>
      <c r="L15" s="4" t="s">
        <v>32</v>
      </c>
      <c r="M15" s="7" t="s">
        <v>31</v>
      </c>
    </row>
    <row r="16" spans="1:13" ht="19" customHeight="1">
      <c r="A16" s="3">
        <v>10</v>
      </c>
      <c r="B16" s="3"/>
      <c r="C16" s="3" t="s">
        <v>81</v>
      </c>
      <c r="D16" s="5" t="s">
        <v>62</v>
      </c>
      <c r="E16" s="5" t="s">
        <v>25</v>
      </c>
      <c r="F16" s="5" t="str">
        <f>D16&amp;"-"&amp;E16&amp;"(14)"</f>
        <v>P4-TBSI1-M10(14)</v>
      </c>
      <c r="G16" s="4" t="str">
        <f>$A$4&amp;"-"&amp;A16&amp;"/"&amp;F16</f>
        <v>C4S1-10/P4-TBSI1-M10(14)</v>
      </c>
      <c r="H16" s="4" t="str">
        <f>F16&amp;"/"&amp;$A$4&amp;"-"&amp;A16</f>
        <v>P4-TBSI1-M10(14)/C4S1-10</v>
      </c>
      <c r="I16" s="3" t="s">
        <v>4</v>
      </c>
      <c r="J16" s="2" t="s">
        <v>80</v>
      </c>
      <c r="K16" s="3" t="s">
        <v>79</v>
      </c>
      <c r="L16" s="2" t="s">
        <v>32</v>
      </c>
      <c r="M16" s="7" t="s">
        <v>31</v>
      </c>
    </row>
    <row r="17" spans="1:13" ht="19" customHeight="1">
      <c r="A17" s="5">
        <v>11</v>
      </c>
      <c r="B17" s="5"/>
      <c r="C17" s="5" t="s">
        <v>78</v>
      </c>
      <c r="D17" s="5" t="s">
        <v>62</v>
      </c>
      <c r="E17" s="5" t="s">
        <v>23</v>
      </c>
      <c r="F17" s="5" t="str">
        <f>D17&amp;"-"&amp;E17&amp;"(14)"</f>
        <v>P4-TBSI1-M11(14)</v>
      </c>
      <c r="G17" s="4" t="str">
        <f>$A$4&amp;"-"&amp;A17&amp;"/"&amp;F17</f>
        <v>C4S1-11/P4-TBSI1-M11(14)</v>
      </c>
      <c r="H17" s="4" t="str">
        <f>F17&amp;"/"&amp;$A$4&amp;"-"&amp;A17</f>
        <v>P4-TBSI1-M11(14)/C4S1-11</v>
      </c>
      <c r="I17" s="5" t="s">
        <v>4</v>
      </c>
      <c r="J17" s="4" t="s">
        <v>77</v>
      </c>
      <c r="K17" s="5" t="s">
        <v>76</v>
      </c>
      <c r="L17" s="4" t="s">
        <v>32</v>
      </c>
      <c r="M17" s="7" t="s">
        <v>31</v>
      </c>
    </row>
    <row r="18" spans="1:13" ht="19" customHeight="1">
      <c r="A18" s="3">
        <v>12</v>
      </c>
      <c r="B18" s="3"/>
      <c r="C18" s="3" t="s">
        <v>75</v>
      </c>
      <c r="D18" s="5" t="s">
        <v>62</v>
      </c>
      <c r="E18" s="5" t="s">
        <v>21</v>
      </c>
      <c r="F18" s="5" t="str">
        <f>D18&amp;"-"&amp;E18&amp;"(14)"</f>
        <v>P4-TBSI1-M12(14)</v>
      </c>
      <c r="G18" s="4" t="str">
        <f>$A$4&amp;"-"&amp;A18&amp;"/"&amp;F18</f>
        <v>C4S1-12/P4-TBSI1-M12(14)</v>
      </c>
      <c r="H18" s="4" t="str">
        <f>F18&amp;"/"&amp;$A$4&amp;"-"&amp;A18</f>
        <v>P4-TBSI1-M12(14)/C4S1-12</v>
      </c>
      <c r="I18" s="3" t="s">
        <v>4</v>
      </c>
      <c r="J18" s="2" t="s">
        <v>74</v>
      </c>
      <c r="K18" s="3" t="s">
        <v>73</v>
      </c>
      <c r="L18" s="2" t="s">
        <v>32</v>
      </c>
      <c r="M18" s="7" t="s">
        <v>31</v>
      </c>
    </row>
    <row r="19" spans="1:13" ht="19" customHeight="1">
      <c r="A19" s="5">
        <v>13</v>
      </c>
      <c r="B19" s="5"/>
      <c r="C19" s="5" t="s">
        <v>72</v>
      </c>
      <c r="D19" s="5" t="s">
        <v>62</v>
      </c>
      <c r="E19" s="5" t="s">
        <v>19</v>
      </c>
      <c r="F19" s="5" t="str">
        <f>D19&amp;"-"&amp;E19&amp;"(14)"</f>
        <v>P4-TBSI1-M13(14)</v>
      </c>
      <c r="G19" s="4" t="str">
        <f>$A$4&amp;"-"&amp;A19&amp;"/"&amp;F19</f>
        <v>C4S1-13/P4-TBSI1-M13(14)</v>
      </c>
      <c r="H19" s="4" t="str">
        <f>F19&amp;"/"&amp;$A$4&amp;"-"&amp;A19</f>
        <v>P4-TBSI1-M13(14)/C4S1-13</v>
      </c>
      <c r="I19" s="5" t="s">
        <v>4</v>
      </c>
      <c r="J19" s="4" t="s">
        <v>71</v>
      </c>
      <c r="K19" s="5" t="s">
        <v>70</v>
      </c>
      <c r="L19" s="4" t="s">
        <v>32</v>
      </c>
      <c r="M19" s="7" t="s">
        <v>31</v>
      </c>
    </row>
    <row r="20" spans="1:13" ht="19" customHeight="1">
      <c r="A20" s="3">
        <v>14</v>
      </c>
      <c r="B20" s="3"/>
      <c r="C20" s="3" t="s">
        <v>69</v>
      </c>
      <c r="D20" s="5" t="s">
        <v>62</v>
      </c>
      <c r="E20" s="5" t="s">
        <v>17</v>
      </c>
      <c r="F20" s="5" t="str">
        <f>D20&amp;"-"&amp;E20&amp;"(14)"</f>
        <v>P4-TBSI1-M14(14)</v>
      </c>
      <c r="G20" s="4" t="str">
        <f>$A$4&amp;"-"&amp;A20&amp;"/"&amp;F20</f>
        <v>C4S1-14/P4-TBSI1-M14(14)</v>
      </c>
      <c r="H20" s="4" t="str">
        <f>F20&amp;"/"&amp;$A$4&amp;"-"&amp;A20</f>
        <v>P4-TBSI1-M14(14)/C4S1-14</v>
      </c>
      <c r="I20" s="3" t="s">
        <v>4</v>
      </c>
      <c r="J20" s="2" t="s">
        <v>68</v>
      </c>
      <c r="K20" s="3" t="s">
        <v>67</v>
      </c>
      <c r="L20" s="2" t="s">
        <v>32</v>
      </c>
      <c r="M20" s="7" t="s">
        <v>31</v>
      </c>
    </row>
    <row r="21" spans="1:13" ht="19" customHeight="1">
      <c r="A21" s="5">
        <v>15</v>
      </c>
      <c r="B21" s="5"/>
      <c r="C21" s="5" t="s">
        <v>66</v>
      </c>
      <c r="D21" s="5" t="s">
        <v>62</v>
      </c>
      <c r="E21" s="5" t="s">
        <v>15</v>
      </c>
      <c r="F21" s="5" t="str">
        <f>D21&amp;"-"&amp;E21&amp;"(14)"</f>
        <v>P4-TBSI1-M15(14)</v>
      </c>
      <c r="G21" s="4" t="str">
        <f>$A$4&amp;"-"&amp;A21&amp;"/"&amp;F21</f>
        <v>C4S1-15/P4-TBSI1-M15(14)</v>
      </c>
      <c r="H21" s="4" t="str">
        <f>F21&amp;"/"&amp;$A$4&amp;"-"&amp;A21</f>
        <v>P4-TBSI1-M15(14)/C4S1-15</v>
      </c>
      <c r="I21" s="5" t="s">
        <v>4</v>
      </c>
      <c r="J21" s="4" t="s">
        <v>65</v>
      </c>
      <c r="K21" s="5" t="s">
        <v>64</v>
      </c>
      <c r="L21" s="4" t="s">
        <v>32</v>
      </c>
      <c r="M21" s="7" t="s">
        <v>31</v>
      </c>
    </row>
    <row r="22" spans="1:13" ht="19" customHeight="1">
      <c r="A22" s="3">
        <v>16</v>
      </c>
      <c r="B22" s="3"/>
      <c r="C22" s="3" t="s">
        <v>63</v>
      </c>
      <c r="D22" s="5" t="s">
        <v>62</v>
      </c>
      <c r="E22" s="5" t="s">
        <v>12</v>
      </c>
      <c r="F22" s="5" t="str">
        <f>D22&amp;"-"&amp;E22&amp;"(14)"</f>
        <v>P4-TBSI1-M16(14)</v>
      </c>
      <c r="G22" s="4" t="str">
        <f>$A$4&amp;"-"&amp;A22&amp;"/"&amp;F22</f>
        <v>C4S1-16/P4-TBSI1-M16(14)</v>
      </c>
      <c r="H22" s="4" t="str">
        <f>F22&amp;"/"&amp;$A$4&amp;"-"&amp;A22</f>
        <v>P4-TBSI1-M16(14)/C4S1-16</v>
      </c>
      <c r="I22" s="3" t="s">
        <v>4</v>
      </c>
      <c r="J22" s="2" t="s">
        <v>10</v>
      </c>
      <c r="K22" s="3" t="s">
        <v>9</v>
      </c>
      <c r="L22" s="2" t="s">
        <v>8</v>
      </c>
      <c r="M22" s="6" t="s">
        <v>7</v>
      </c>
    </row>
    <row r="23" spans="1:13" ht="19" customHeight="1">
      <c r="A23" s="5">
        <v>17</v>
      </c>
      <c r="B23" s="5"/>
      <c r="C23" s="5" t="s">
        <v>61</v>
      </c>
      <c r="D23" s="5"/>
      <c r="E23" s="5"/>
      <c r="F23" s="5" t="s">
        <v>5</v>
      </c>
      <c r="G23" s="4" t="str">
        <f>$A$4&amp;"-"&amp;A23&amp;"/"&amp;F23</f>
        <v>C4S1-17/0VDC</v>
      </c>
      <c r="H23" s="4" t="str">
        <f>F23&amp;"/"&amp;$A$4&amp;"-"&amp;A23</f>
        <v>0VDC/C4S1-17</v>
      </c>
      <c r="I23" s="5" t="s">
        <v>4</v>
      </c>
      <c r="J23" s="4" t="s">
        <v>3</v>
      </c>
      <c r="K23" s="5" t="s">
        <v>2</v>
      </c>
      <c r="L23" s="4" t="s">
        <v>1</v>
      </c>
      <c r="M23" s="1" t="s">
        <v>0</v>
      </c>
    </row>
    <row r="24" spans="1:13" ht="19" customHeight="1">
      <c r="A24" s="3">
        <v>18</v>
      </c>
      <c r="B24" s="3"/>
      <c r="C24" s="3" t="s">
        <v>61</v>
      </c>
      <c r="D24" s="3"/>
      <c r="E24" s="3"/>
      <c r="F24" s="3" t="s">
        <v>5</v>
      </c>
      <c r="G24" s="4" t="str">
        <f>$A$4&amp;"-"&amp;A24&amp;"/"&amp;F24</f>
        <v>C4S1-18/0VDC</v>
      </c>
      <c r="H24" s="4" t="str">
        <f>F24&amp;"/"&amp;$A$4&amp;"-"&amp;A24</f>
        <v>0VDC/C4S1-18</v>
      </c>
      <c r="I24" s="3" t="s">
        <v>4</v>
      </c>
      <c r="J24" s="2" t="s">
        <v>3</v>
      </c>
      <c r="K24" s="3" t="s">
        <v>2</v>
      </c>
      <c r="L24" s="2" t="s">
        <v>1</v>
      </c>
      <c r="M24" s="1" t="s">
        <v>0</v>
      </c>
    </row>
    <row r="25" spans="1:13" ht="19" customHeight="1">
      <c r="A25" s="5">
        <v>19</v>
      </c>
      <c r="B25" s="5"/>
      <c r="C25" s="5" t="s">
        <v>60</v>
      </c>
      <c r="D25" s="5" t="s">
        <v>13</v>
      </c>
      <c r="E25" s="5" t="s">
        <v>59</v>
      </c>
      <c r="F25" s="5" t="str">
        <f>D25&amp;"-"&amp;E25&amp;"(14)"</f>
        <v>P4-TBSI2-M1(14)</v>
      </c>
      <c r="G25" s="4" t="str">
        <f>$A$4&amp;"-"&amp;A25&amp;"/"&amp;F25</f>
        <v>C4S1-19/P4-TBSI2-M1(14)</v>
      </c>
      <c r="H25" s="4" t="str">
        <f>F25&amp;"/"&amp;$A$4&amp;"-"&amp;A25</f>
        <v>P4-TBSI2-M1(14)/C4S1-19</v>
      </c>
      <c r="I25" s="5" t="s">
        <v>11</v>
      </c>
      <c r="J25" s="4" t="s">
        <v>58</v>
      </c>
      <c r="K25" s="5" t="s">
        <v>57</v>
      </c>
      <c r="L25" s="4" t="s">
        <v>32</v>
      </c>
      <c r="M25" s="7" t="s">
        <v>31</v>
      </c>
    </row>
    <row r="26" spans="1:13" ht="19" customHeight="1">
      <c r="A26" s="3">
        <v>20</v>
      </c>
      <c r="B26" s="3"/>
      <c r="C26" s="3" t="s">
        <v>56</v>
      </c>
      <c r="D26" s="5" t="s">
        <v>13</v>
      </c>
      <c r="E26" s="5" t="s">
        <v>55</v>
      </c>
      <c r="F26" s="5" t="str">
        <f>D26&amp;"-"&amp;E26&amp;"(14)"</f>
        <v>P4-TBSI2-M2(14)</v>
      </c>
      <c r="G26" s="4" t="str">
        <f>$A$4&amp;"-"&amp;A26&amp;"/"&amp;F26</f>
        <v>C4S1-20/P4-TBSI2-M2(14)</v>
      </c>
      <c r="H26" s="4" t="str">
        <f>F26&amp;"/"&amp;$A$4&amp;"-"&amp;A26</f>
        <v>P4-TBSI2-M2(14)/C4S1-20</v>
      </c>
      <c r="I26" s="3" t="s">
        <v>11</v>
      </c>
      <c r="J26" s="2" t="s">
        <v>54</v>
      </c>
      <c r="K26" s="3" t="s">
        <v>53</v>
      </c>
      <c r="L26" s="2" t="s">
        <v>32</v>
      </c>
      <c r="M26" s="7" t="s">
        <v>31</v>
      </c>
    </row>
    <row r="27" spans="1:13" ht="19" customHeight="1">
      <c r="A27" s="5">
        <v>21</v>
      </c>
      <c r="B27" s="5"/>
      <c r="C27" s="5" t="s">
        <v>52</v>
      </c>
      <c r="D27" s="5" t="s">
        <v>13</v>
      </c>
      <c r="E27" s="5" t="s">
        <v>51</v>
      </c>
      <c r="F27" s="5" t="str">
        <f>D27&amp;"-"&amp;E27&amp;"(14)"</f>
        <v>P4-TBSI2-M3(14)</v>
      </c>
      <c r="G27" s="4" t="str">
        <f>$A$4&amp;"-"&amp;A27&amp;"/"&amp;F27</f>
        <v>C4S1-21/P4-TBSI2-M3(14)</v>
      </c>
      <c r="H27" s="4" t="str">
        <f>F27&amp;"/"&amp;$A$4&amp;"-"&amp;A27</f>
        <v>P4-TBSI2-M3(14)/C4S1-21</v>
      </c>
      <c r="I27" s="5" t="s">
        <v>11</v>
      </c>
      <c r="J27" s="4" t="s">
        <v>50</v>
      </c>
      <c r="K27" s="5" t="s">
        <v>49</v>
      </c>
      <c r="L27" s="4" t="s">
        <v>32</v>
      </c>
      <c r="M27" s="7" t="s">
        <v>31</v>
      </c>
    </row>
    <row r="28" spans="1:13" ht="19" customHeight="1">
      <c r="A28" s="3">
        <v>22</v>
      </c>
      <c r="B28" s="3"/>
      <c r="C28" s="3" t="s">
        <v>48</v>
      </c>
      <c r="D28" s="5" t="s">
        <v>13</v>
      </c>
      <c r="E28" s="5" t="s">
        <v>47</v>
      </c>
      <c r="F28" s="5" t="str">
        <f>D28&amp;"-"&amp;E28&amp;"(14)"</f>
        <v>P4-TBSI2-M4(14)</v>
      </c>
      <c r="G28" s="4" t="str">
        <f>$A$4&amp;"-"&amp;A28&amp;"/"&amp;F28</f>
        <v>C4S1-22/P4-TBSI2-M4(14)</v>
      </c>
      <c r="H28" s="4" t="str">
        <f>F28&amp;"/"&amp;$A$4&amp;"-"&amp;A28</f>
        <v>P4-TBSI2-M4(14)/C4S1-22</v>
      </c>
      <c r="I28" s="3" t="s">
        <v>11</v>
      </c>
      <c r="J28" s="2" t="s">
        <v>46</v>
      </c>
      <c r="K28" s="3" t="s">
        <v>45</v>
      </c>
      <c r="L28" s="2" t="s">
        <v>32</v>
      </c>
      <c r="M28" s="7" t="s">
        <v>31</v>
      </c>
    </row>
    <row r="29" spans="1:13" ht="19" customHeight="1">
      <c r="A29" s="5">
        <v>23</v>
      </c>
      <c r="B29" s="5"/>
      <c r="C29" s="5" t="s">
        <v>44</v>
      </c>
      <c r="D29" s="5" t="s">
        <v>13</v>
      </c>
      <c r="E29" s="5" t="s">
        <v>43</v>
      </c>
      <c r="F29" s="5" t="str">
        <f>D29&amp;"-"&amp;E29&amp;"(14)"</f>
        <v>P4-TBSI2-M5(14)</v>
      </c>
      <c r="G29" s="4" t="str">
        <f>$A$4&amp;"-"&amp;A29&amp;"/"&amp;F29</f>
        <v>C4S1-23/P4-TBSI2-M5(14)</v>
      </c>
      <c r="H29" s="4" t="str">
        <f>F29&amp;"/"&amp;$A$4&amp;"-"&amp;A29</f>
        <v>P4-TBSI2-M5(14)/C4S1-23</v>
      </c>
      <c r="I29" s="5" t="s">
        <v>11</v>
      </c>
      <c r="J29" s="4" t="s">
        <v>42</v>
      </c>
      <c r="K29" s="5" t="s">
        <v>41</v>
      </c>
      <c r="L29" s="4" t="s">
        <v>32</v>
      </c>
      <c r="M29" s="7" t="s">
        <v>31</v>
      </c>
    </row>
    <row r="30" spans="1:13" ht="19" customHeight="1">
      <c r="A30" s="3">
        <v>24</v>
      </c>
      <c r="B30" s="3"/>
      <c r="C30" s="3" t="s">
        <v>40</v>
      </c>
      <c r="D30" s="5" t="s">
        <v>13</v>
      </c>
      <c r="E30" s="5" t="s">
        <v>39</v>
      </c>
      <c r="F30" s="5" t="str">
        <f>D30&amp;"-"&amp;E30&amp;"(14)"</f>
        <v>P4-TBSI2-M6(14)</v>
      </c>
      <c r="G30" s="4" t="str">
        <f>$A$4&amp;"-"&amp;A30&amp;"/"&amp;F30</f>
        <v>C4S1-24/P4-TBSI2-M6(14)</v>
      </c>
      <c r="H30" s="4" t="str">
        <f>F30&amp;"/"&amp;$A$4&amp;"-"&amp;A30</f>
        <v>P4-TBSI2-M6(14)/C4S1-24</v>
      </c>
      <c r="I30" s="3" t="s">
        <v>11</v>
      </c>
      <c r="J30" s="2" t="s">
        <v>38</v>
      </c>
      <c r="K30" s="3" t="s">
        <v>37</v>
      </c>
      <c r="L30" s="2" t="s">
        <v>32</v>
      </c>
      <c r="M30" s="7" t="s">
        <v>31</v>
      </c>
    </row>
    <row r="31" spans="1:13" ht="19" customHeight="1">
      <c r="A31" s="5">
        <v>25</v>
      </c>
      <c r="B31" s="5"/>
      <c r="C31" s="5" t="s">
        <v>36</v>
      </c>
      <c r="D31" s="5" t="s">
        <v>13</v>
      </c>
      <c r="E31" s="5" t="s">
        <v>35</v>
      </c>
      <c r="F31" s="5" t="str">
        <f>D31&amp;"-"&amp;E31&amp;"(14)"</f>
        <v>P4-TBSI2-M7(14)</v>
      </c>
      <c r="G31" s="4" t="str">
        <f>$A$4&amp;"-"&amp;A31&amp;"/"&amp;F31</f>
        <v>C4S1-25/P4-TBSI2-M7(14)</v>
      </c>
      <c r="H31" s="4" t="str">
        <f>F31&amp;"/"&amp;$A$4&amp;"-"&amp;A31</f>
        <v>P4-TBSI2-M7(14)/C4S1-25</v>
      </c>
      <c r="I31" s="5" t="s">
        <v>11</v>
      </c>
      <c r="J31" s="4" t="s">
        <v>34</v>
      </c>
      <c r="K31" s="5" t="s">
        <v>33</v>
      </c>
      <c r="L31" s="4" t="s">
        <v>32</v>
      </c>
      <c r="M31" s="7" t="s">
        <v>31</v>
      </c>
    </row>
    <row r="32" spans="1:13" ht="19" customHeight="1">
      <c r="A32" s="3">
        <v>26</v>
      </c>
      <c r="B32" s="3"/>
      <c r="C32" s="3" t="s">
        <v>30</v>
      </c>
      <c r="D32" s="5" t="s">
        <v>13</v>
      </c>
      <c r="E32" s="5" t="s">
        <v>29</v>
      </c>
      <c r="F32" s="5" t="str">
        <f>D32&amp;"-"&amp;E32&amp;"(14)"</f>
        <v>P4-TBSI2-M8(14)</v>
      </c>
      <c r="G32" s="4" t="str">
        <f>$A$4&amp;"-"&amp;A32&amp;"/"&amp;F32</f>
        <v>C4S1-26/P4-TBSI2-M8(14)</v>
      </c>
      <c r="H32" s="4" t="str">
        <f>F32&amp;"/"&amp;$A$4&amp;"-"&amp;A32</f>
        <v>P4-TBSI2-M8(14)/C4S1-26</v>
      </c>
      <c r="I32" s="3" t="s">
        <v>11</v>
      </c>
      <c r="J32" s="2" t="s">
        <v>10</v>
      </c>
      <c r="K32" s="3" t="s">
        <v>9</v>
      </c>
      <c r="L32" s="2" t="s">
        <v>8</v>
      </c>
      <c r="M32" s="6" t="s">
        <v>7</v>
      </c>
    </row>
    <row r="33" spans="1:13" ht="19" customHeight="1">
      <c r="A33" s="5">
        <v>27</v>
      </c>
      <c r="B33" s="5"/>
      <c r="C33" s="5" t="s">
        <v>28</v>
      </c>
      <c r="D33" s="5" t="s">
        <v>13</v>
      </c>
      <c r="E33" s="5" t="s">
        <v>27</v>
      </c>
      <c r="F33" s="5" t="str">
        <f>D33&amp;"-"&amp;E33&amp;"(14)"</f>
        <v>P4-TBSI2-M9(14)</v>
      </c>
      <c r="G33" s="4" t="str">
        <f>$A$4&amp;"-"&amp;A33&amp;"/"&amp;F33</f>
        <v>C4S1-27/P4-TBSI2-M9(14)</v>
      </c>
      <c r="H33" s="4" t="str">
        <f>F33&amp;"/"&amp;$A$4&amp;"-"&amp;A33</f>
        <v>P4-TBSI2-M9(14)/C4S1-27</v>
      </c>
      <c r="I33" s="5" t="s">
        <v>11</v>
      </c>
      <c r="J33" s="4" t="s">
        <v>10</v>
      </c>
      <c r="K33" s="5" t="s">
        <v>9</v>
      </c>
      <c r="L33" s="4" t="s">
        <v>8</v>
      </c>
      <c r="M33" s="6" t="s">
        <v>7</v>
      </c>
    </row>
    <row r="34" spans="1:13" ht="19" customHeight="1">
      <c r="A34" s="3">
        <v>28</v>
      </c>
      <c r="B34" s="3"/>
      <c r="C34" s="3" t="s">
        <v>26</v>
      </c>
      <c r="D34" s="5" t="s">
        <v>13</v>
      </c>
      <c r="E34" s="5" t="s">
        <v>25</v>
      </c>
      <c r="F34" s="5" t="str">
        <f>D34&amp;"-"&amp;E34&amp;"(14)"</f>
        <v>P4-TBSI2-M10(14)</v>
      </c>
      <c r="G34" s="4" t="str">
        <f>$A$4&amp;"-"&amp;A34&amp;"/"&amp;F34</f>
        <v>C4S1-28/P4-TBSI2-M10(14)</v>
      </c>
      <c r="H34" s="4" t="str">
        <f>F34&amp;"/"&amp;$A$4&amp;"-"&amp;A34</f>
        <v>P4-TBSI2-M10(14)/C4S1-28</v>
      </c>
      <c r="I34" s="3" t="s">
        <v>11</v>
      </c>
      <c r="J34" s="2" t="s">
        <v>10</v>
      </c>
      <c r="K34" s="3" t="s">
        <v>9</v>
      </c>
      <c r="L34" s="2" t="s">
        <v>8</v>
      </c>
      <c r="M34" s="6" t="s">
        <v>7</v>
      </c>
    </row>
    <row r="35" spans="1:13" ht="19" customHeight="1">
      <c r="A35" s="5">
        <v>29</v>
      </c>
      <c r="B35" s="5"/>
      <c r="C35" s="5" t="s">
        <v>24</v>
      </c>
      <c r="D35" s="5" t="s">
        <v>13</v>
      </c>
      <c r="E35" s="5" t="s">
        <v>23</v>
      </c>
      <c r="F35" s="5" t="str">
        <f>D35&amp;"-"&amp;E35&amp;"(14)"</f>
        <v>P4-TBSI2-M11(14)</v>
      </c>
      <c r="G35" s="4" t="str">
        <f>$A$4&amp;"-"&amp;A35&amp;"/"&amp;F35</f>
        <v>C4S1-29/P4-TBSI2-M11(14)</v>
      </c>
      <c r="H35" s="4" t="str">
        <f>F35&amp;"/"&amp;$A$4&amp;"-"&amp;A35</f>
        <v>P4-TBSI2-M11(14)/C4S1-29</v>
      </c>
      <c r="I35" s="5" t="s">
        <v>11</v>
      </c>
      <c r="J35" s="4" t="s">
        <v>10</v>
      </c>
      <c r="K35" s="5" t="s">
        <v>9</v>
      </c>
      <c r="L35" s="4" t="s">
        <v>8</v>
      </c>
      <c r="M35" s="6" t="s">
        <v>7</v>
      </c>
    </row>
    <row r="36" spans="1:13" ht="19" customHeight="1">
      <c r="A36" s="3">
        <v>30</v>
      </c>
      <c r="B36" s="3"/>
      <c r="C36" s="3" t="s">
        <v>22</v>
      </c>
      <c r="D36" s="5" t="s">
        <v>13</v>
      </c>
      <c r="E36" s="5" t="s">
        <v>21</v>
      </c>
      <c r="F36" s="5" t="str">
        <f>D36&amp;"-"&amp;E36&amp;"(14)"</f>
        <v>P4-TBSI2-M12(14)</v>
      </c>
      <c r="G36" s="4" t="str">
        <f>$A$4&amp;"-"&amp;A36&amp;"/"&amp;F36</f>
        <v>C4S1-30/P4-TBSI2-M12(14)</v>
      </c>
      <c r="H36" s="4" t="str">
        <f>F36&amp;"/"&amp;$A$4&amp;"-"&amp;A36</f>
        <v>P4-TBSI2-M12(14)/C4S1-30</v>
      </c>
      <c r="I36" s="3" t="s">
        <v>11</v>
      </c>
      <c r="J36" s="2" t="s">
        <v>10</v>
      </c>
      <c r="K36" s="3" t="s">
        <v>9</v>
      </c>
      <c r="L36" s="2" t="s">
        <v>8</v>
      </c>
      <c r="M36" s="6" t="s">
        <v>7</v>
      </c>
    </row>
    <row r="37" spans="1:13" ht="19" customHeight="1">
      <c r="A37" s="5">
        <v>31</v>
      </c>
      <c r="B37" s="5"/>
      <c r="C37" s="5" t="s">
        <v>20</v>
      </c>
      <c r="D37" s="5" t="s">
        <v>13</v>
      </c>
      <c r="E37" s="5" t="s">
        <v>19</v>
      </c>
      <c r="F37" s="5" t="str">
        <f>D37&amp;"-"&amp;E37&amp;"(14)"</f>
        <v>P4-TBSI2-M13(14)</v>
      </c>
      <c r="G37" s="4" t="str">
        <f>$A$4&amp;"-"&amp;A37&amp;"/"&amp;F37</f>
        <v>C4S1-31/P4-TBSI2-M13(14)</v>
      </c>
      <c r="H37" s="4" t="str">
        <f>F37&amp;"/"&amp;$A$4&amp;"-"&amp;A37</f>
        <v>P4-TBSI2-M13(14)/C4S1-31</v>
      </c>
      <c r="I37" s="5" t="s">
        <v>11</v>
      </c>
      <c r="J37" s="4" t="s">
        <v>10</v>
      </c>
      <c r="K37" s="5" t="s">
        <v>9</v>
      </c>
      <c r="L37" s="4" t="s">
        <v>8</v>
      </c>
      <c r="M37" s="6" t="s">
        <v>7</v>
      </c>
    </row>
    <row r="38" spans="1:13" ht="19" customHeight="1">
      <c r="A38" s="3">
        <v>32</v>
      </c>
      <c r="B38" s="3"/>
      <c r="C38" s="3" t="s">
        <v>18</v>
      </c>
      <c r="D38" s="5" t="s">
        <v>13</v>
      </c>
      <c r="E38" s="5" t="s">
        <v>17</v>
      </c>
      <c r="F38" s="5" t="str">
        <f>D38&amp;"-"&amp;E38&amp;"(14)"</f>
        <v>P4-TBSI2-M14(14)</v>
      </c>
      <c r="G38" s="4" t="str">
        <f>$A$4&amp;"-"&amp;A38&amp;"/"&amp;F38</f>
        <v>C4S1-32/P4-TBSI2-M14(14)</v>
      </c>
      <c r="H38" s="4" t="str">
        <f>F38&amp;"/"&amp;$A$4&amp;"-"&amp;A38</f>
        <v>P4-TBSI2-M14(14)/C4S1-32</v>
      </c>
      <c r="I38" s="3" t="s">
        <v>11</v>
      </c>
      <c r="J38" s="2" t="s">
        <v>10</v>
      </c>
      <c r="K38" s="3" t="s">
        <v>9</v>
      </c>
      <c r="L38" s="2" t="s">
        <v>8</v>
      </c>
      <c r="M38" s="6" t="s">
        <v>7</v>
      </c>
    </row>
    <row r="39" spans="1:13" ht="19" customHeight="1">
      <c r="A39" s="5">
        <v>33</v>
      </c>
      <c r="B39" s="5"/>
      <c r="C39" s="5" t="s">
        <v>16</v>
      </c>
      <c r="D39" s="5" t="s">
        <v>13</v>
      </c>
      <c r="E39" s="5" t="s">
        <v>15</v>
      </c>
      <c r="F39" s="5" t="str">
        <f>D39&amp;"-"&amp;E39&amp;"(14)"</f>
        <v>P4-TBSI2-M15(14)</v>
      </c>
      <c r="G39" s="4" t="str">
        <f>$A$4&amp;"-"&amp;A39&amp;"/"&amp;F39</f>
        <v>C4S1-33/P4-TBSI2-M15(14)</v>
      </c>
      <c r="H39" s="4" t="str">
        <f>F39&amp;"/"&amp;$A$4&amp;"-"&amp;A39</f>
        <v>P4-TBSI2-M15(14)/C4S1-33</v>
      </c>
      <c r="I39" s="5" t="s">
        <v>11</v>
      </c>
      <c r="J39" s="4" t="s">
        <v>10</v>
      </c>
      <c r="K39" s="5" t="s">
        <v>9</v>
      </c>
      <c r="L39" s="4" t="s">
        <v>8</v>
      </c>
      <c r="M39" s="6" t="s">
        <v>7</v>
      </c>
    </row>
    <row r="40" spans="1:13" ht="19" customHeight="1">
      <c r="A40" s="3">
        <v>34</v>
      </c>
      <c r="B40" s="3"/>
      <c r="C40" s="3" t="s">
        <v>14</v>
      </c>
      <c r="D40" s="5" t="s">
        <v>13</v>
      </c>
      <c r="E40" s="5" t="s">
        <v>12</v>
      </c>
      <c r="F40" s="5" t="str">
        <f>D40&amp;"-"&amp;E40&amp;"(14)"</f>
        <v>P4-TBSI2-M16(14)</v>
      </c>
      <c r="G40" s="4" t="str">
        <f>$A$4&amp;"-"&amp;A40&amp;"/"&amp;F40</f>
        <v>C4S1-34/P4-TBSI2-M16(14)</v>
      </c>
      <c r="H40" s="4" t="str">
        <f>F40&amp;"/"&amp;$A$4&amp;"-"&amp;A40</f>
        <v>P4-TBSI2-M16(14)/C4S1-34</v>
      </c>
      <c r="I40" s="3" t="s">
        <v>11</v>
      </c>
      <c r="J40" s="2" t="s">
        <v>10</v>
      </c>
      <c r="K40" s="3" t="s">
        <v>9</v>
      </c>
      <c r="L40" s="2" t="s">
        <v>8</v>
      </c>
      <c r="M40" s="6" t="s">
        <v>7</v>
      </c>
    </row>
    <row r="41" spans="1:13" ht="19" customHeight="1">
      <c r="A41" s="5">
        <v>35</v>
      </c>
      <c r="B41" s="5"/>
      <c r="C41" s="5" t="s">
        <v>6</v>
      </c>
      <c r="D41" s="5"/>
      <c r="E41" s="5"/>
      <c r="F41" s="5" t="s">
        <v>5</v>
      </c>
      <c r="G41" s="4" t="str">
        <f>$A$4&amp;"-"&amp;A41&amp;"/"&amp;F41</f>
        <v>C4S1-35/0VDC</v>
      </c>
      <c r="H41" s="4" t="str">
        <f>F41&amp;"/"&amp;$A$4&amp;"-"&amp;A41</f>
        <v>0VDC/C4S1-35</v>
      </c>
      <c r="I41" s="5" t="s">
        <v>4</v>
      </c>
      <c r="J41" s="4" t="s">
        <v>3</v>
      </c>
      <c r="K41" s="5" t="s">
        <v>2</v>
      </c>
      <c r="L41" s="4" t="s">
        <v>1</v>
      </c>
      <c r="M41" s="1" t="s">
        <v>0</v>
      </c>
    </row>
    <row r="42" spans="1:13" ht="19" customHeight="1">
      <c r="A42" s="3">
        <v>36</v>
      </c>
      <c r="B42" s="3"/>
      <c r="C42" s="3" t="s">
        <v>6</v>
      </c>
      <c r="D42" s="3"/>
      <c r="E42" s="3"/>
      <c r="F42" s="3" t="s">
        <v>5</v>
      </c>
      <c r="G42" s="4" t="str">
        <f>$A$4&amp;"-"&amp;A42&amp;"/"&amp;F42</f>
        <v>C4S1-36/0VDC</v>
      </c>
      <c r="H42" s="4" t="str">
        <f>F42&amp;"/"&amp;$A$4&amp;"-"&amp;A42</f>
        <v>0VDC/C4S1-36</v>
      </c>
      <c r="I42" s="3" t="s">
        <v>4</v>
      </c>
      <c r="J42" s="2" t="s">
        <v>3</v>
      </c>
      <c r="K42" s="3" t="s">
        <v>2</v>
      </c>
      <c r="L42" s="2" t="s">
        <v>1</v>
      </c>
      <c r="M42" s="1" t="s">
        <v>0</v>
      </c>
    </row>
  </sheetData>
  <mergeCells count="5">
    <mergeCell ref="A1:M1"/>
    <mergeCell ref="A5:G5"/>
    <mergeCell ref="A3:M3"/>
    <mergeCell ref="A2:M2"/>
    <mergeCell ref="H5:M5"/>
  </mergeCells>
  <hyperlinks>
    <hyperlink ref="A5" location="'C4SlotConfig'!A1" display="← Back to Chassis Summary (C4SlotConfig)" xr:uid="{665641E5-1887-0348-9263-A95E01CD490A}"/>
    <hyperlink ref="H5" location="'00_Slot_Index'!A1" display="← Back to Master Slot Directory (00_Slot_Index)" xr:uid="{8FD6943D-BFA0-D340-9C26-68D8D98444D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8EA1-796B-D645-99A4-1C0EABDB26FF}">
  <dimension ref="A1:M42"/>
  <sheetViews>
    <sheetView topLeftCell="D1" workbookViewId="0">
      <selection activeCell="I7" sqref="I7:M21"/>
    </sheetView>
  </sheetViews>
  <sheetFormatPr baseColWidth="10" defaultColWidth="8.83203125" defaultRowHeight="15"/>
  <cols>
    <col min="1" max="2" width="15" customWidth="1"/>
    <col min="3" max="5" width="24" customWidth="1"/>
    <col min="6" max="6" width="32" customWidth="1"/>
    <col min="7" max="8" width="23" customWidth="1"/>
    <col min="9" max="9" width="20" customWidth="1"/>
    <col min="10" max="10" width="25" customWidth="1"/>
    <col min="11" max="11" width="18" customWidth="1"/>
    <col min="12" max="12" width="41" customWidth="1"/>
    <col min="13" max="13" width="18" customWidth="1"/>
  </cols>
  <sheetData>
    <row r="1" spans="1:13" ht="25" customHeight="1">
      <c r="A1" s="15" t="s">
        <v>202</v>
      </c>
      <c r="B1" s="15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9" customHeight="1">
      <c r="A2" s="14" t="s">
        <v>123</v>
      </c>
      <c r="B2" s="14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8" customHeight="1">
      <c r="A3" s="13" t="s">
        <v>201</v>
      </c>
      <c r="B3" s="13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8" customHeight="1">
      <c r="A4" s="12" t="s">
        <v>200</v>
      </c>
      <c r="B4" s="12"/>
    </row>
    <row r="5" spans="1:13" ht="16" customHeight="1">
      <c r="A5" s="11" t="s">
        <v>120</v>
      </c>
      <c r="B5" s="11"/>
      <c r="C5" s="9"/>
      <c r="D5" s="9"/>
      <c r="E5" s="9"/>
      <c r="F5" s="9"/>
      <c r="G5" s="9"/>
      <c r="H5" s="10" t="s">
        <v>119</v>
      </c>
      <c r="I5" s="9"/>
      <c r="J5" s="9"/>
      <c r="K5" s="9"/>
      <c r="L5" s="9"/>
      <c r="M5" s="9"/>
    </row>
    <row r="6" spans="1:13" ht="22" customHeight="1" thickBot="1">
      <c r="A6" s="8" t="s">
        <v>118</v>
      </c>
      <c r="B6" s="8"/>
      <c r="C6" s="8" t="s">
        <v>117</v>
      </c>
      <c r="D6" s="8"/>
      <c r="E6" s="8"/>
      <c r="F6" s="8" t="s">
        <v>116</v>
      </c>
      <c r="G6" s="8" t="s">
        <v>115</v>
      </c>
      <c r="H6" s="8" t="s">
        <v>114</v>
      </c>
      <c r="I6" s="8" t="s">
        <v>113</v>
      </c>
      <c r="J6" s="8" t="s">
        <v>112</v>
      </c>
      <c r="K6" s="8" t="s">
        <v>111</v>
      </c>
      <c r="L6" s="8" t="s">
        <v>110</v>
      </c>
      <c r="M6" s="8" t="s">
        <v>109</v>
      </c>
    </row>
    <row r="7" spans="1:13" ht="19" customHeight="1">
      <c r="A7" s="5">
        <v>1</v>
      </c>
      <c r="B7" s="5"/>
      <c r="C7" s="5" t="s">
        <v>108</v>
      </c>
      <c r="D7" s="5" t="s">
        <v>169</v>
      </c>
      <c r="E7" s="5" t="s">
        <v>59</v>
      </c>
      <c r="F7" s="5" t="str">
        <f>D7&amp;"-"&amp;E7&amp;"(14)"</f>
        <v>P4-TBSI3-M1(14)</v>
      </c>
      <c r="G7" s="4" t="str">
        <f>$A$4&amp;"-"&amp;A7&amp;"/"&amp;F7</f>
        <v>C4S2-1/P4-TBSI3-M1(14)</v>
      </c>
      <c r="H7" s="4" t="str">
        <f>F7&amp;"/"&amp;$A$4&amp;"-"&amp;A7</f>
        <v>P4-TBSI3-M1(14)/C4S2-1</v>
      </c>
      <c r="I7" s="5" t="s">
        <v>125</v>
      </c>
      <c r="J7" s="4" t="s">
        <v>199</v>
      </c>
      <c r="K7" s="5" t="s">
        <v>198</v>
      </c>
      <c r="L7" s="4" t="s">
        <v>32</v>
      </c>
      <c r="M7" s="7" t="s">
        <v>31</v>
      </c>
    </row>
    <row r="8" spans="1:13" ht="19" customHeight="1">
      <c r="A8" s="3">
        <v>2</v>
      </c>
      <c r="B8" s="3"/>
      <c r="C8" s="3" t="s">
        <v>105</v>
      </c>
      <c r="D8" s="5" t="s">
        <v>169</v>
      </c>
      <c r="E8" s="5" t="s">
        <v>59</v>
      </c>
      <c r="F8" s="5" t="str">
        <f>D8&amp;"-"&amp;E8&amp;"(14)"</f>
        <v>P4-TBSI3-M1(14)</v>
      </c>
      <c r="G8" s="4" t="str">
        <f>$A$4&amp;"-"&amp;A8&amp;"/"&amp;F8</f>
        <v>C4S2-2/P4-TBSI3-M1(14)</v>
      </c>
      <c r="H8" s="4" t="str">
        <f>F8&amp;"/"&amp;$A$4&amp;"-"&amp;A8</f>
        <v>P4-TBSI3-M1(14)/C4S2-2</v>
      </c>
      <c r="I8" s="3" t="s">
        <v>125</v>
      </c>
      <c r="J8" s="2" t="s">
        <v>197</v>
      </c>
      <c r="K8" s="3" t="s">
        <v>196</v>
      </c>
      <c r="L8" s="2" t="s">
        <v>32</v>
      </c>
      <c r="M8" s="7" t="s">
        <v>31</v>
      </c>
    </row>
    <row r="9" spans="1:13" ht="19" customHeight="1">
      <c r="A9" s="5">
        <v>3</v>
      </c>
      <c r="B9" s="5"/>
      <c r="C9" s="5" t="s">
        <v>102</v>
      </c>
      <c r="D9" s="5" t="s">
        <v>169</v>
      </c>
      <c r="E9" s="5" t="s">
        <v>59</v>
      </c>
      <c r="F9" s="5" t="str">
        <f>D9&amp;"-"&amp;E9&amp;"(14)"</f>
        <v>P4-TBSI3-M1(14)</v>
      </c>
      <c r="G9" s="4" t="str">
        <f>$A$4&amp;"-"&amp;A9&amp;"/"&amp;F9</f>
        <v>C4S2-3/P4-TBSI3-M1(14)</v>
      </c>
      <c r="H9" s="4" t="str">
        <f>F9&amp;"/"&amp;$A$4&amp;"-"&amp;A9</f>
        <v>P4-TBSI3-M1(14)/C4S2-3</v>
      </c>
      <c r="I9" s="5" t="s">
        <v>125</v>
      </c>
      <c r="J9" s="4" t="s">
        <v>195</v>
      </c>
      <c r="K9" s="5" t="s">
        <v>194</v>
      </c>
      <c r="L9" s="4" t="s">
        <v>32</v>
      </c>
      <c r="M9" s="7" t="s">
        <v>31</v>
      </c>
    </row>
    <row r="10" spans="1:13" ht="19" customHeight="1">
      <c r="A10" s="3">
        <v>4</v>
      </c>
      <c r="B10" s="3"/>
      <c r="C10" s="3" t="s">
        <v>99</v>
      </c>
      <c r="D10" s="5" t="s">
        <v>169</v>
      </c>
      <c r="E10" s="5" t="s">
        <v>59</v>
      </c>
      <c r="F10" s="5" t="str">
        <f>D10&amp;"-"&amp;E10&amp;"(14)"</f>
        <v>P4-TBSI3-M1(14)</v>
      </c>
      <c r="G10" s="4" t="str">
        <f>$A$4&amp;"-"&amp;A10&amp;"/"&amp;F10</f>
        <v>C4S2-4/P4-TBSI3-M1(14)</v>
      </c>
      <c r="H10" s="4" t="str">
        <f>F10&amp;"/"&amp;$A$4&amp;"-"&amp;A10</f>
        <v>P4-TBSI3-M1(14)/C4S2-4</v>
      </c>
      <c r="I10" s="3" t="s">
        <v>125</v>
      </c>
      <c r="J10" s="2" t="s">
        <v>193</v>
      </c>
      <c r="K10" s="3" t="s">
        <v>192</v>
      </c>
      <c r="L10" s="2" t="s">
        <v>32</v>
      </c>
      <c r="M10" s="7" t="s">
        <v>31</v>
      </c>
    </row>
    <row r="11" spans="1:13" ht="19" customHeight="1">
      <c r="A11" s="5">
        <v>5</v>
      </c>
      <c r="B11" s="5"/>
      <c r="C11" s="5" t="s">
        <v>96</v>
      </c>
      <c r="D11" s="5" t="s">
        <v>169</v>
      </c>
      <c r="E11" s="5" t="s">
        <v>59</v>
      </c>
      <c r="F11" s="5" t="str">
        <f>D11&amp;"-"&amp;E11&amp;"(14)"</f>
        <v>P4-TBSI3-M1(14)</v>
      </c>
      <c r="G11" s="4" t="str">
        <f>$A$4&amp;"-"&amp;A11&amp;"/"&amp;F11</f>
        <v>C4S2-5/P4-TBSI3-M1(14)</v>
      </c>
      <c r="H11" s="4" t="str">
        <f>F11&amp;"/"&amp;$A$4&amp;"-"&amp;A11</f>
        <v>P4-TBSI3-M1(14)/C4S2-5</v>
      </c>
      <c r="I11" s="5" t="s">
        <v>125</v>
      </c>
      <c r="J11" s="4" t="s">
        <v>191</v>
      </c>
      <c r="K11" s="5" t="s">
        <v>190</v>
      </c>
      <c r="L11" s="4" t="s">
        <v>32</v>
      </c>
      <c r="M11" s="7" t="s">
        <v>31</v>
      </c>
    </row>
    <row r="12" spans="1:13" ht="19" customHeight="1">
      <c r="A12" s="3">
        <v>6</v>
      </c>
      <c r="B12" s="3"/>
      <c r="C12" s="3" t="s">
        <v>93</v>
      </c>
      <c r="D12" s="5" t="s">
        <v>169</v>
      </c>
      <c r="E12" s="5" t="s">
        <v>59</v>
      </c>
      <c r="F12" s="5" t="str">
        <f>D12&amp;"-"&amp;E12&amp;"(14)"</f>
        <v>P4-TBSI3-M1(14)</v>
      </c>
      <c r="G12" s="4" t="str">
        <f>$A$4&amp;"-"&amp;A12&amp;"/"&amp;F12</f>
        <v>C4S2-6/P4-TBSI3-M1(14)</v>
      </c>
      <c r="H12" s="4" t="str">
        <f>F12&amp;"/"&amp;$A$4&amp;"-"&amp;A12</f>
        <v>P4-TBSI3-M1(14)/C4S2-6</v>
      </c>
      <c r="I12" s="3" t="s">
        <v>125</v>
      </c>
      <c r="J12" s="2" t="s">
        <v>189</v>
      </c>
      <c r="K12" s="3" t="s">
        <v>188</v>
      </c>
      <c r="L12" s="2" t="s">
        <v>32</v>
      </c>
      <c r="M12" s="7" t="s">
        <v>31</v>
      </c>
    </row>
    <row r="13" spans="1:13" ht="19" customHeight="1">
      <c r="A13" s="5">
        <v>7</v>
      </c>
      <c r="B13" s="5"/>
      <c r="C13" s="5" t="s">
        <v>90</v>
      </c>
      <c r="D13" s="5" t="s">
        <v>169</v>
      </c>
      <c r="E13" s="5" t="s">
        <v>59</v>
      </c>
      <c r="F13" s="5" t="str">
        <f>D13&amp;"-"&amp;E13&amp;"(14)"</f>
        <v>P4-TBSI3-M1(14)</v>
      </c>
      <c r="G13" s="4" t="str">
        <f>$A$4&amp;"-"&amp;A13&amp;"/"&amp;F13</f>
        <v>C4S2-7/P4-TBSI3-M1(14)</v>
      </c>
      <c r="H13" s="4" t="str">
        <f>F13&amp;"/"&amp;$A$4&amp;"-"&amp;A13</f>
        <v>P4-TBSI3-M1(14)/C4S2-7</v>
      </c>
      <c r="I13" s="5" t="s">
        <v>125</v>
      </c>
      <c r="J13" s="4" t="s">
        <v>187</v>
      </c>
      <c r="K13" s="5" t="s">
        <v>186</v>
      </c>
      <c r="L13" s="4" t="s">
        <v>32</v>
      </c>
      <c r="M13" s="7" t="s">
        <v>31</v>
      </c>
    </row>
    <row r="14" spans="1:13" ht="19" customHeight="1">
      <c r="A14" s="3">
        <v>8</v>
      </c>
      <c r="B14" s="3"/>
      <c r="C14" s="3" t="s">
        <v>87</v>
      </c>
      <c r="D14" s="5" t="s">
        <v>169</v>
      </c>
      <c r="E14" s="5" t="s">
        <v>59</v>
      </c>
      <c r="F14" s="5" t="str">
        <f>D14&amp;"-"&amp;E14&amp;"(14)"</f>
        <v>P4-TBSI3-M1(14)</v>
      </c>
      <c r="G14" s="4" t="str">
        <f>$A$4&amp;"-"&amp;A14&amp;"/"&amp;F14</f>
        <v>C4S2-8/P4-TBSI3-M1(14)</v>
      </c>
      <c r="H14" s="4" t="str">
        <f>F14&amp;"/"&amp;$A$4&amp;"-"&amp;A14</f>
        <v>P4-TBSI3-M1(14)/C4S2-8</v>
      </c>
      <c r="I14" s="3" t="s">
        <v>125</v>
      </c>
      <c r="J14" s="2" t="s">
        <v>185</v>
      </c>
      <c r="K14" s="3" t="s">
        <v>184</v>
      </c>
      <c r="L14" s="2" t="s">
        <v>32</v>
      </c>
      <c r="M14" s="7" t="s">
        <v>31</v>
      </c>
    </row>
    <row r="15" spans="1:13" ht="19" customHeight="1">
      <c r="A15" s="5">
        <v>9</v>
      </c>
      <c r="B15" s="5"/>
      <c r="C15" s="5" t="s">
        <v>84</v>
      </c>
      <c r="D15" s="5" t="s">
        <v>169</v>
      </c>
      <c r="E15" s="5" t="s">
        <v>59</v>
      </c>
      <c r="F15" s="5" t="str">
        <f>D15&amp;"-"&amp;E15&amp;"(14)"</f>
        <v>P4-TBSI3-M1(14)</v>
      </c>
      <c r="G15" s="4" t="str">
        <f>$A$4&amp;"-"&amp;A15&amp;"/"&amp;F15</f>
        <v>C4S2-9/P4-TBSI3-M1(14)</v>
      </c>
      <c r="H15" s="4" t="str">
        <f>F15&amp;"/"&amp;$A$4&amp;"-"&amp;A15</f>
        <v>P4-TBSI3-M1(14)/C4S2-9</v>
      </c>
      <c r="I15" s="5" t="s">
        <v>125</v>
      </c>
      <c r="J15" s="4" t="s">
        <v>183</v>
      </c>
      <c r="K15" s="5" t="s">
        <v>182</v>
      </c>
      <c r="L15" s="4" t="s">
        <v>32</v>
      </c>
      <c r="M15" s="7" t="s">
        <v>31</v>
      </c>
    </row>
    <row r="16" spans="1:13" ht="19" customHeight="1">
      <c r="A16" s="3">
        <v>10</v>
      </c>
      <c r="B16" s="3"/>
      <c r="C16" s="3" t="s">
        <v>81</v>
      </c>
      <c r="D16" s="5" t="s">
        <v>169</v>
      </c>
      <c r="E16" s="5" t="s">
        <v>59</v>
      </c>
      <c r="F16" s="5" t="str">
        <f>D16&amp;"-"&amp;E16&amp;"(14)"</f>
        <v>P4-TBSI3-M1(14)</v>
      </c>
      <c r="G16" s="4" t="str">
        <f>$A$4&amp;"-"&amp;A16&amp;"/"&amp;F16</f>
        <v>C4S2-10/P4-TBSI3-M1(14)</v>
      </c>
      <c r="H16" s="4" t="str">
        <f>F16&amp;"/"&amp;$A$4&amp;"-"&amp;A16</f>
        <v>P4-TBSI3-M1(14)/C4S2-10</v>
      </c>
      <c r="I16" s="3" t="s">
        <v>125</v>
      </c>
      <c r="J16" s="2" t="s">
        <v>181</v>
      </c>
      <c r="K16" s="3" t="s">
        <v>180</v>
      </c>
      <c r="L16" s="2" t="s">
        <v>32</v>
      </c>
      <c r="M16" s="7" t="s">
        <v>31</v>
      </c>
    </row>
    <row r="17" spans="1:13" ht="19" customHeight="1">
      <c r="A17" s="5">
        <v>11</v>
      </c>
      <c r="B17" s="5"/>
      <c r="C17" s="5" t="s">
        <v>78</v>
      </c>
      <c r="D17" s="5" t="s">
        <v>169</v>
      </c>
      <c r="E17" s="5" t="s">
        <v>59</v>
      </c>
      <c r="F17" s="5" t="str">
        <f>D17&amp;"-"&amp;E17&amp;"(14)"</f>
        <v>P4-TBSI3-M1(14)</v>
      </c>
      <c r="G17" s="4" t="str">
        <f>$A$4&amp;"-"&amp;A17&amp;"/"&amp;F17</f>
        <v>C4S2-11/P4-TBSI3-M1(14)</v>
      </c>
      <c r="H17" s="4" t="str">
        <f>F17&amp;"/"&amp;$A$4&amp;"-"&amp;A17</f>
        <v>P4-TBSI3-M1(14)/C4S2-11</v>
      </c>
      <c r="I17" s="5" t="s">
        <v>125</v>
      </c>
      <c r="J17" s="4" t="s">
        <v>179</v>
      </c>
      <c r="K17" s="5" t="s">
        <v>178</v>
      </c>
      <c r="L17" s="4" t="s">
        <v>32</v>
      </c>
      <c r="M17" s="7" t="s">
        <v>31</v>
      </c>
    </row>
    <row r="18" spans="1:13" ht="19" customHeight="1">
      <c r="A18" s="3">
        <v>12</v>
      </c>
      <c r="B18" s="3"/>
      <c r="C18" s="3" t="s">
        <v>75</v>
      </c>
      <c r="D18" s="5" t="s">
        <v>169</v>
      </c>
      <c r="E18" s="5" t="s">
        <v>59</v>
      </c>
      <c r="F18" s="5" t="str">
        <f>D18&amp;"-"&amp;E18&amp;"(14)"</f>
        <v>P4-TBSI3-M1(14)</v>
      </c>
      <c r="G18" s="4" t="str">
        <f>$A$4&amp;"-"&amp;A18&amp;"/"&amp;F18</f>
        <v>C4S2-12/P4-TBSI3-M1(14)</v>
      </c>
      <c r="H18" s="4" t="str">
        <f>F18&amp;"/"&amp;$A$4&amp;"-"&amp;A18</f>
        <v>P4-TBSI3-M1(14)/C4S2-12</v>
      </c>
      <c r="I18" s="3" t="s">
        <v>125</v>
      </c>
      <c r="J18" s="2" t="s">
        <v>177</v>
      </c>
      <c r="K18" s="3" t="s">
        <v>176</v>
      </c>
      <c r="L18" s="2" t="s">
        <v>32</v>
      </c>
      <c r="M18" s="7" t="s">
        <v>31</v>
      </c>
    </row>
    <row r="19" spans="1:13" ht="19" customHeight="1">
      <c r="A19" s="5">
        <v>13</v>
      </c>
      <c r="B19" s="5"/>
      <c r="C19" s="5" t="s">
        <v>72</v>
      </c>
      <c r="D19" s="5" t="s">
        <v>169</v>
      </c>
      <c r="E19" s="5" t="s">
        <v>59</v>
      </c>
      <c r="F19" s="5" t="str">
        <f>D19&amp;"-"&amp;E19&amp;"(14)"</f>
        <v>P4-TBSI3-M1(14)</v>
      </c>
      <c r="G19" s="4" t="str">
        <f>$A$4&amp;"-"&amp;A19&amp;"/"&amp;F19</f>
        <v>C4S2-13/P4-TBSI3-M1(14)</v>
      </c>
      <c r="H19" s="4" t="str">
        <f>F19&amp;"/"&amp;$A$4&amp;"-"&amp;A19</f>
        <v>P4-TBSI3-M1(14)/C4S2-13</v>
      </c>
      <c r="I19" s="5" t="s">
        <v>125</v>
      </c>
      <c r="J19" s="4" t="s">
        <v>175</v>
      </c>
      <c r="K19" s="5" t="s">
        <v>174</v>
      </c>
      <c r="L19" s="4" t="s">
        <v>32</v>
      </c>
      <c r="M19" s="7" t="s">
        <v>31</v>
      </c>
    </row>
    <row r="20" spans="1:13" ht="19" customHeight="1">
      <c r="A20" s="3">
        <v>14</v>
      </c>
      <c r="B20" s="3"/>
      <c r="C20" s="3" t="s">
        <v>69</v>
      </c>
      <c r="D20" s="5" t="s">
        <v>169</v>
      </c>
      <c r="E20" s="5" t="s">
        <v>59</v>
      </c>
      <c r="F20" s="5" t="str">
        <f>D20&amp;"-"&amp;E20&amp;"(14)"</f>
        <v>P4-TBSI3-M1(14)</v>
      </c>
      <c r="G20" s="4" t="str">
        <f>$A$4&amp;"-"&amp;A20&amp;"/"&amp;F20</f>
        <v>C4S2-14/P4-TBSI3-M1(14)</v>
      </c>
      <c r="H20" s="4" t="str">
        <f>F20&amp;"/"&amp;$A$4&amp;"-"&amp;A20</f>
        <v>P4-TBSI3-M1(14)/C4S2-14</v>
      </c>
      <c r="I20" s="3" t="s">
        <v>125</v>
      </c>
      <c r="J20" s="2" t="s">
        <v>173</v>
      </c>
      <c r="K20" s="3" t="s">
        <v>172</v>
      </c>
      <c r="L20" s="2" t="s">
        <v>32</v>
      </c>
      <c r="M20" s="7" t="s">
        <v>31</v>
      </c>
    </row>
    <row r="21" spans="1:13" ht="19" customHeight="1">
      <c r="A21" s="5">
        <v>15</v>
      </c>
      <c r="B21" s="5"/>
      <c r="C21" s="5" t="s">
        <v>66</v>
      </c>
      <c r="D21" s="5" t="s">
        <v>169</v>
      </c>
      <c r="E21" s="5" t="s">
        <v>59</v>
      </c>
      <c r="F21" s="5" t="str">
        <f>D21&amp;"-"&amp;E21&amp;"(14)"</f>
        <v>P4-TBSI3-M1(14)</v>
      </c>
      <c r="G21" s="4" t="str">
        <f>$A$4&amp;"-"&amp;A21&amp;"/"&amp;F21</f>
        <v>C4S2-15/P4-TBSI3-M1(14)</v>
      </c>
      <c r="H21" s="4" t="str">
        <f>F21&amp;"/"&amp;$A$4&amp;"-"&amp;A21</f>
        <v>P4-TBSI3-M1(14)/C4S2-15</v>
      </c>
      <c r="I21" s="5" t="s">
        <v>125</v>
      </c>
      <c r="J21" s="4" t="s">
        <v>171</v>
      </c>
      <c r="K21" s="5" t="s">
        <v>170</v>
      </c>
      <c r="L21" s="4" t="s">
        <v>32</v>
      </c>
      <c r="M21" s="7" t="s">
        <v>31</v>
      </c>
    </row>
    <row r="22" spans="1:13" ht="19" customHeight="1">
      <c r="A22" s="3">
        <v>16</v>
      </c>
      <c r="B22" s="3"/>
      <c r="C22" s="3" t="s">
        <v>63</v>
      </c>
      <c r="D22" s="5" t="s">
        <v>169</v>
      </c>
      <c r="E22" s="5" t="s">
        <v>59</v>
      </c>
      <c r="F22" s="5" t="str">
        <f>D22&amp;"-"&amp;E22&amp;"(14)"</f>
        <v>P4-TBSI3-M1(14)</v>
      </c>
      <c r="G22" s="4" t="str">
        <f>$A$4&amp;"-"&amp;A22&amp;"/"&amp;F22</f>
        <v>C4S2-16/P4-TBSI3-M1(14)</v>
      </c>
      <c r="H22" s="4" t="str">
        <f>F22&amp;"/"&amp;$A$4&amp;"-"&amp;A22</f>
        <v>P4-TBSI3-M1(14)/C4S2-16</v>
      </c>
      <c r="I22" s="3" t="s">
        <v>125</v>
      </c>
      <c r="J22" s="2" t="s">
        <v>10</v>
      </c>
      <c r="K22" s="3" t="s">
        <v>9</v>
      </c>
      <c r="L22" s="2" t="s">
        <v>8</v>
      </c>
      <c r="M22" s="6" t="s">
        <v>7</v>
      </c>
    </row>
    <row r="23" spans="1:13" ht="19" customHeight="1">
      <c r="A23" s="5">
        <v>17</v>
      </c>
      <c r="B23" s="5"/>
      <c r="C23" s="5" t="s">
        <v>61</v>
      </c>
      <c r="D23" s="5"/>
      <c r="E23" s="5"/>
      <c r="F23" s="5" t="s">
        <v>5</v>
      </c>
      <c r="G23" s="4" t="s">
        <v>5</v>
      </c>
      <c r="H23" s="4" t="s">
        <v>5</v>
      </c>
      <c r="I23" s="5" t="s">
        <v>125</v>
      </c>
      <c r="J23" s="4" t="s">
        <v>3</v>
      </c>
      <c r="K23" s="5" t="s">
        <v>2</v>
      </c>
      <c r="L23" s="4" t="s">
        <v>1</v>
      </c>
      <c r="M23" s="1" t="s">
        <v>0</v>
      </c>
    </row>
    <row r="24" spans="1:13" ht="19" customHeight="1">
      <c r="A24" s="3">
        <v>18</v>
      </c>
      <c r="B24" s="3"/>
      <c r="C24" s="3" t="s">
        <v>61</v>
      </c>
      <c r="D24" s="3"/>
      <c r="E24" s="3"/>
      <c r="F24" s="3" t="s">
        <v>5</v>
      </c>
      <c r="G24" s="2" t="s">
        <v>5</v>
      </c>
      <c r="H24" s="2" t="s">
        <v>5</v>
      </c>
      <c r="I24" s="3" t="s">
        <v>125</v>
      </c>
      <c r="J24" s="2" t="s">
        <v>3</v>
      </c>
      <c r="K24" s="3" t="s">
        <v>2</v>
      </c>
      <c r="L24" s="2" t="s">
        <v>1</v>
      </c>
      <c r="M24" s="1" t="s">
        <v>0</v>
      </c>
    </row>
    <row r="25" spans="1:13" ht="19" customHeight="1">
      <c r="A25" s="5">
        <v>19</v>
      </c>
      <c r="B25" s="5"/>
      <c r="C25" s="5" t="s">
        <v>60</v>
      </c>
      <c r="D25" s="5" t="s">
        <v>168</v>
      </c>
      <c r="E25" s="5" t="s">
        <v>59</v>
      </c>
      <c r="F25" s="5" t="str">
        <f>D25&amp;"-"&amp;E25&amp;"(14)"</f>
        <v>P4-TBSI4-M1(14)</v>
      </c>
      <c r="G25" s="4" t="str">
        <f>$A$4&amp;"-"&amp;A25&amp;"/"&amp;F25</f>
        <v>C4S2-19/P4-TBSI4-M1(14)</v>
      </c>
      <c r="H25" s="4" t="str">
        <f>F25&amp;"/"&amp;$A$4&amp;"-"&amp;A25</f>
        <v>P4-TBSI4-M1(14)/C4S2-19</v>
      </c>
      <c r="I25" s="5" t="s">
        <v>126</v>
      </c>
      <c r="J25" s="4" t="s">
        <v>167</v>
      </c>
      <c r="K25" s="5" t="s">
        <v>166</v>
      </c>
      <c r="L25" s="4" t="s">
        <v>32</v>
      </c>
      <c r="M25" s="7" t="s">
        <v>31</v>
      </c>
    </row>
    <row r="26" spans="1:13" ht="19" customHeight="1">
      <c r="A26" s="3">
        <v>20</v>
      </c>
      <c r="B26" s="3"/>
      <c r="C26" s="3" t="s">
        <v>56</v>
      </c>
      <c r="D26" s="5" t="s">
        <v>165</v>
      </c>
      <c r="E26" s="5" t="s">
        <v>55</v>
      </c>
      <c r="F26" s="5" t="str">
        <f>D26&amp;"-"&amp;E26&amp;"(14)"</f>
        <v>P4-TBSI5-M2(14)</v>
      </c>
      <c r="G26" s="4" t="str">
        <f>$A$4&amp;"-"&amp;A26&amp;"/"&amp;F26</f>
        <v>C4S2-20/P4-TBSI5-M2(14)</v>
      </c>
      <c r="H26" s="4" t="str">
        <f>F26&amp;"/"&amp;$A$4&amp;"-"&amp;A26</f>
        <v>P4-TBSI5-M2(14)/C4S2-20</v>
      </c>
      <c r="I26" s="3" t="s">
        <v>126</v>
      </c>
      <c r="J26" s="2" t="s">
        <v>164</v>
      </c>
      <c r="K26" s="3" t="s">
        <v>163</v>
      </c>
      <c r="L26" s="2" t="s">
        <v>32</v>
      </c>
      <c r="M26" s="7" t="s">
        <v>31</v>
      </c>
    </row>
    <row r="27" spans="1:13" ht="19" customHeight="1">
      <c r="A27" s="5">
        <v>21</v>
      </c>
      <c r="B27" s="5"/>
      <c r="C27" s="5" t="s">
        <v>52</v>
      </c>
      <c r="D27" s="5" t="s">
        <v>162</v>
      </c>
      <c r="E27" s="5" t="s">
        <v>51</v>
      </c>
      <c r="F27" s="5" t="str">
        <f>D27&amp;"-"&amp;E27&amp;"(14)"</f>
        <v>P4-TBSI6-M3(14)</v>
      </c>
      <c r="G27" s="4" t="str">
        <f>$A$4&amp;"-"&amp;A27&amp;"/"&amp;F27</f>
        <v>C4S2-21/P4-TBSI6-M3(14)</v>
      </c>
      <c r="H27" s="4" t="str">
        <f>F27&amp;"/"&amp;$A$4&amp;"-"&amp;A27</f>
        <v>P4-TBSI6-M3(14)/C4S2-21</v>
      </c>
      <c r="I27" s="5" t="s">
        <v>126</v>
      </c>
      <c r="J27" s="4" t="s">
        <v>161</v>
      </c>
      <c r="K27" s="5" t="s">
        <v>160</v>
      </c>
      <c r="L27" s="4" t="s">
        <v>32</v>
      </c>
      <c r="M27" s="7" t="s">
        <v>31</v>
      </c>
    </row>
    <row r="28" spans="1:13" ht="19" customHeight="1">
      <c r="A28" s="3">
        <v>22</v>
      </c>
      <c r="B28" s="3"/>
      <c r="C28" s="3" t="s">
        <v>48</v>
      </c>
      <c r="D28" s="5" t="s">
        <v>159</v>
      </c>
      <c r="E28" s="5" t="s">
        <v>47</v>
      </c>
      <c r="F28" s="5" t="str">
        <f>D28&amp;"-"&amp;E28&amp;"(14)"</f>
        <v>P4-TBSI7-M4(14)</v>
      </c>
      <c r="G28" s="4" t="str">
        <f>$A$4&amp;"-"&amp;A28&amp;"/"&amp;F28</f>
        <v>C4S2-22/P4-TBSI7-M4(14)</v>
      </c>
      <c r="H28" s="4" t="str">
        <f>F28&amp;"/"&amp;$A$4&amp;"-"&amp;A28</f>
        <v>P4-TBSI7-M4(14)/C4S2-22</v>
      </c>
      <c r="I28" s="3" t="s">
        <v>126</v>
      </c>
      <c r="J28" s="2" t="s">
        <v>158</v>
      </c>
      <c r="K28" s="3" t="s">
        <v>157</v>
      </c>
      <c r="L28" s="2" t="s">
        <v>32</v>
      </c>
      <c r="M28" s="7" t="s">
        <v>31</v>
      </c>
    </row>
    <row r="29" spans="1:13" ht="19" customHeight="1">
      <c r="A29" s="5">
        <v>23</v>
      </c>
      <c r="B29" s="5"/>
      <c r="C29" s="5" t="s">
        <v>44</v>
      </c>
      <c r="D29" s="5" t="s">
        <v>156</v>
      </c>
      <c r="E29" s="5" t="s">
        <v>43</v>
      </c>
      <c r="F29" s="5" t="str">
        <f>D29&amp;"-"&amp;E29&amp;"(14)"</f>
        <v>P4-TBSI8-M5(14)</v>
      </c>
      <c r="G29" s="4" t="str">
        <f>$A$4&amp;"-"&amp;A29&amp;"/"&amp;F29</f>
        <v>C4S2-23/P4-TBSI8-M5(14)</v>
      </c>
      <c r="H29" s="4" t="str">
        <f>F29&amp;"/"&amp;$A$4&amp;"-"&amp;A29</f>
        <v>P4-TBSI8-M5(14)/C4S2-23</v>
      </c>
      <c r="I29" s="5" t="s">
        <v>126</v>
      </c>
      <c r="J29" s="4" t="s">
        <v>155</v>
      </c>
      <c r="K29" s="5" t="s">
        <v>154</v>
      </c>
      <c r="L29" s="4" t="s">
        <v>32</v>
      </c>
      <c r="M29" s="7" t="s">
        <v>31</v>
      </c>
    </row>
    <row r="30" spans="1:13" ht="19" customHeight="1">
      <c r="A30" s="3">
        <v>24</v>
      </c>
      <c r="B30" s="3"/>
      <c r="C30" s="3" t="s">
        <v>40</v>
      </c>
      <c r="D30" s="5" t="s">
        <v>153</v>
      </c>
      <c r="E30" s="5" t="s">
        <v>39</v>
      </c>
      <c r="F30" s="5" t="str">
        <f>D30&amp;"-"&amp;E30&amp;"(14)"</f>
        <v>P4-TBSI9-M6(14)</v>
      </c>
      <c r="G30" s="4" t="str">
        <f>$A$4&amp;"-"&amp;A30&amp;"/"&amp;F30</f>
        <v>C4S2-24/P4-TBSI9-M6(14)</v>
      </c>
      <c r="H30" s="4" t="str">
        <f>F30&amp;"/"&amp;$A$4&amp;"-"&amp;A30</f>
        <v>P4-TBSI9-M6(14)/C4S2-24</v>
      </c>
      <c r="I30" s="3" t="s">
        <v>126</v>
      </c>
      <c r="J30" s="2" t="s">
        <v>152</v>
      </c>
      <c r="K30" s="3" t="s">
        <v>151</v>
      </c>
      <c r="L30" s="2" t="s">
        <v>32</v>
      </c>
      <c r="M30" s="7" t="s">
        <v>31</v>
      </c>
    </row>
    <row r="31" spans="1:13" ht="19" customHeight="1">
      <c r="A31" s="5">
        <v>25</v>
      </c>
      <c r="B31" s="5"/>
      <c r="C31" s="5" t="s">
        <v>36</v>
      </c>
      <c r="D31" s="5" t="s">
        <v>150</v>
      </c>
      <c r="E31" s="5" t="s">
        <v>35</v>
      </c>
      <c r="F31" s="5" t="str">
        <f>D31&amp;"-"&amp;E31&amp;"(14)"</f>
        <v>P4-TBSI10-M7(14)</v>
      </c>
      <c r="G31" s="4" t="str">
        <f>$A$4&amp;"-"&amp;A31&amp;"/"&amp;F31</f>
        <v>C4S2-25/P4-TBSI10-M7(14)</v>
      </c>
      <c r="H31" s="4" t="str">
        <f>F31&amp;"/"&amp;$A$4&amp;"-"&amp;A31</f>
        <v>P4-TBSI10-M7(14)/C4S2-25</v>
      </c>
      <c r="I31" s="5" t="s">
        <v>126</v>
      </c>
      <c r="J31" s="4" t="s">
        <v>149</v>
      </c>
      <c r="K31" s="5" t="s">
        <v>148</v>
      </c>
      <c r="L31" s="4" t="s">
        <v>32</v>
      </c>
      <c r="M31" s="7" t="s">
        <v>31</v>
      </c>
    </row>
    <row r="32" spans="1:13" ht="19" customHeight="1">
      <c r="A32" s="3">
        <v>26</v>
      </c>
      <c r="B32" s="3"/>
      <c r="C32" s="3" t="s">
        <v>30</v>
      </c>
      <c r="D32" s="5" t="s">
        <v>147</v>
      </c>
      <c r="E32" s="5" t="s">
        <v>29</v>
      </c>
      <c r="F32" s="5" t="str">
        <f>D32&amp;"-"&amp;E32&amp;"(14)"</f>
        <v>P4-TBSI11-M8(14)</v>
      </c>
      <c r="G32" s="4" t="str">
        <f>$A$4&amp;"-"&amp;A32&amp;"/"&amp;F32</f>
        <v>C4S2-26/P4-TBSI11-M8(14)</v>
      </c>
      <c r="H32" s="4" t="str">
        <f>F32&amp;"/"&amp;$A$4&amp;"-"&amp;A32</f>
        <v>P4-TBSI11-M8(14)/C4S2-26</v>
      </c>
      <c r="I32" s="3" t="s">
        <v>126</v>
      </c>
      <c r="J32" s="2" t="s">
        <v>146</v>
      </c>
      <c r="K32" s="3" t="s">
        <v>145</v>
      </c>
      <c r="L32" s="2" t="s">
        <v>32</v>
      </c>
      <c r="M32" s="7" t="s">
        <v>31</v>
      </c>
    </row>
    <row r="33" spans="1:13" ht="19" customHeight="1">
      <c r="A33" s="5">
        <v>27</v>
      </c>
      <c r="B33" s="5"/>
      <c r="C33" s="5" t="s">
        <v>28</v>
      </c>
      <c r="D33" s="5" t="s">
        <v>144</v>
      </c>
      <c r="E33" s="5" t="s">
        <v>27</v>
      </c>
      <c r="F33" s="5" t="str">
        <f>D33&amp;"-"&amp;E33&amp;"(14)"</f>
        <v>P4-TBSI12-M9(14)</v>
      </c>
      <c r="G33" s="4" t="str">
        <f>$A$4&amp;"-"&amp;A33&amp;"/"&amp;F33</f>
        <v>C4S2-27/P4-TBSI12-M9(14)</v>
      </c>
      <c r="H33" s="4" t="str">
        <f>F33&amp;"/"&amp;$A$4&amp;"-"&amp;A33</f>
        <v>P4-TBSI12-M9(14)/C4S2-27</v>
      </c>
      <c r="I33" s="5" t="s">
        <v>126</v>
      </c>
      <c r="J33" s="4" t="s">
        <v>143</v>
      </c>
      <c r="K33" s="5" t="s">
        <v>142</v>
      </c>
      <c r="L33" s="4" t="s">
        <v>32</v>
      </c>
      <c r="M33" s="7" t="s">
        <v>31</v>
      </c>
    </row>
    <row r="34" spans="1:13" ht="19" customHeight="1">
      <c r="A34" s="3">
        <v>28</v>
      </c>
      <c r="B34" s="3"/>
      <c r="C34" s="3" t="s">
        <v>26</v>
      </c>
      <c r="D34" s="5" t="s">
        <v>141</v>
      </c>
      <c r="E34" s="5" t="s">
        <v>25</v>
      </c>
      <c r="F34" s="5" t="str">
        <f>D34&amp;"-"&amp;E34&amp;"(14)"</f>
        <v>P4-TBSI13-M10(14)</v>
      </c>
      <c r="G34" s="4" t="str">
        <f>$A$4&amp;"-"&amp;A34&amp;"/"&amp;F34</f>
        <v>C4S2-28/P4-TBSI13-M10(14)</v>
      </c>
      <c r="H34" s="4" t="str">
        <f>F34&amp;"/"&amp;$A$4&amp;"-"&amp;A34</f>
        <v>P4-TBSI13-M10(14)/C4S2-28</v>
      </c>
      <c r="I34" s="3" t="s">
        <v>126</v>
      </c>
      <c r="J34" s="2" t="s">
        <v>140</v>
      </c>
      <c r="K34" s="3" t="s">
        <v>139</v>
      </c>
      <c r="L34" s="2" t="s">
        <v>32</v>
      </c>
      <c r="M34" s="7" t="s">
        <v>31</v>
      </c>
    </row>
    <row r="35" spans="1:13" ht="19" customHeight="1">
      <c r="A35" s="5">
        <v>29</v>
      </c>
      <c r="B35" s="5"/>
      <c r="C35" s="5" t="s">
        <v>24</v>
      </c>
      <c r="D35" s="5" t="s">
        <v>138</v>
      </c>
      <c r="E35" s="5" t="s">
        <v>23</v>
      </c>
      <c r="F35" s="5" t="str">
        <f>D35&amp;"-"&amp;E35&amp;"(14)"</f>
        <v>P4-TBSI14-M11(14)</v>
      </c>
      <c r="G35" s="4" t="str">
        <f>$A$4&amp;"-"&amp;A35&amp;"/"&amp;F35</f>
        <v>C4S2-29/P4-TBSI14-M11(14)</v>
      </c>
      <c r="H35" s="4" t="str">
        <f>F35&amp;"/"&amp;$A$4&amp;"-"&amp;A35</f>
        <v>P4-TBSI14-M11(14)/C4S2-29</v>
      </c>
      <c r="I35" s="5" t="s">
        <v>126</v>
      </c>
      <c r="J35" s="4" t="s">
        <v>137</v>
      </c>
      <c r="K35" s="5" t="s">
        <v>136</v>
      </c>
      <c r="L35" s="4" t="s">
        <v>32</v>
      </c>
      <c r="M35" s="7" t="s">
        <v>31</v>
      </c>
    </row>
    <row r="36" spans="1:13" ht="19" customHeight="1">
      <c r="A36" s="3">
        <v>30</v>
      </c>
      <c r="B36" s="3"/>
      <c r="C36" s="3" t="s">
        <v>22</v>
      </c>
      <c r="D36" s="5" t="s">
        <v>135</v>
      </c>
      <c r="E36" s="5" t="s">
        <v>21</v>
      </c>
      <c r="F36" s="5" t="str">
        <f>D36&amp;"-"&amp;E36&amp;"(14)"</f>
        <v>P4-TBSI15-M12(14)</v>
      </c>
      <c r="G36" s="4" t="str">
        <f>$A$4&amp;"-"&amp;A36&amp;"/"&amp;F36</f>
        <v>C4S2-30/P4-TBSI15-M12(14)</v>
      </c>
      <c r="H36" s="4" t="str">
        <f>F36&amp;"/"&amp;$A$4&amp;"-"&amp;A36</f>
        <v>P4-TBSI15-M12(14)/C4S2-30</v>
      </c>
      <c r="I36" s="3" t="s">
        <v>126</v>
      </c>
      <c r="J36" s="2" t="s">
        <v>134</v>
      </c>
      <c r="K36" s="3" t="s">
        <v>133</v>
      </c>
      <c r="L36" s="2" t="s">
        <v>32</v>
      </c>
      <c r="M36" s="7" t="s">
        <v>31</v>
      </c>
    </row>
    <row r="37" spans="1:13" ht="19" customHeight="1">
      <c r="A37" s="5">
        <v>31</v>
      </c>
      <c r="B37" s="5"/>
      <c r="C37" s="5" t="s">
        <v>20</v>
      </c>
      <c r="D37" s="5" t="s">
        <v>132</v>
      </c>
      <c r="E37" s="5" t="s">
        <v>19</v>
      </c>
      <c r="F37" s="5" t="str">
        <f>D37&amp;"-"&amp;E37&amp;"(14)"</f>
        <v>P4-TBSI16-M13(14)</v>
      </c>
      <c r="G37" s="4" t="str">
        <f>$A$4&amp;"-"&amp;A37&amp;"/"&amp;F37</f>
        <v>C4S2-31/P4-TBSI16-M13(14)</v>
      </c>
      <c r="H37" s="4" t="str">
        <f>F37&amp;"/"&amp;$A$4&amp;"-"&amp;A37</f>
        <v>P4-TBSI16-M13(14)/C4S2-31</v>
      </c>
      <c r="I37" s="5" t="s">
        <v>126</v>
      </c>
      <c r="J37" s="4" t="s">
        <v>131</v>
      </c>
      <c r="K37" s="5" t="s">
        <v>130</v>
      </c>
      <c r="L37" s="4" t="s">
        <v>32</v>
      </c>
      <c r="M37" s="7" t="s">
        <v>31</v>
      </c>
    </row>
    <row r="38" spans="1:13" ht="19" customHeight="1">
      <c r="A38" s="3">
        <v>32</v>
      </c>
      <c r="B38" s="3"/>
      <c r="C38" s="3" t="s">
        <v>18</v>
      </c>
      <c r="D38" s="5" t="s">
        <v>129</v>
      </c>
      <c r="E38" s="5" t="s">
        <v>17</v>
      </c>
      <c r="F38" s="5" t="str">
        <f>D38&amp;"-"&amp;E38&amp;"(14)"</f>
        <v>P4-TBSI17-M14(14)</v>
      </c>
      <c r="G38" s="4" t="str">
        <f>$A$4&amp;"-"&amp;A38&amp;"/"&amp;F38</f>
        <v>C4S2-32/P4-TBSI17-M14(14)</v>
      </c>
      <c r="H38" s="4" t="str">
        <f>F38&amp;"/"&amp;$A$4&amp;"-"&amp;A38</f>
        <v>P4-TBSI17-M14(14)/C4S2-32</v>
      </c>
      <c r="I38" s="3" t="s">
        <v>126</v>
      </c>
      <c r="J38" s="2" t="s">
        <v>10</v>
      </c>
      <c r="K38" s="3" t="s">
        <v>9</v>
      </c>
      <c r="L38" s="2" t="s">
        <v>8</v>
      </c>
      <c r="M38" s="6" t="s">
        <v>7</v>
      </c>
    </row>
    <row r="39" spans="1:13" ht="19" customHeight="1">
      <c r="A39" s="5">
        <v>33</v>
      </c>
      <c r="B39" s="5"/>
      <c r="C39" s="5" t="s">
        <v>16</v>
      </c>
      <c r="D39" s="5" t="s">
        <v>128</v>
      </c>
      <c r="E39" s="5" t="s">
        <v>15</v>
      </c>
      <c r="F39" s="5" t="str">
        <f>D39&amp;"-"&amp;E39&amp;"(14)"</f>
        <v>P4-TBSI18-M15(14)</v>
      </c>
      <c r="G39" s="4" t="str">
        <f>$A$4&amp;"-"&amp;A39&amp;"/"&amp;F39</f>
        <v>C4S2-33/P4-TBSI18-M15(14)</v>
      </c>
      <c r="H39" s="4" t="str">
        <f>F39&amp;"/"&amp;$A$4&amp;"-"&amp;A39</f>
        <v>P4-TBSI18-M15(14)/C4S2-33</v>
      </c>
      <c r="I39" s="5" t="s">
        <v>126</v>
      </c>
      <c r="J39" s="4" t="s">
        <v>10</v>
      </c>
      <c r="K39" s="5" t="s">
        <v>9</v>
      </c>
      <c r="L39" s="4" t="s">
        <v>8</v>
      </c>
      <c r="M39" s="6" t="s">
        <v>7</v>
      </c>
    </row>
    <row r="40" spans="1:13" ht="19" customHeight="1">
      <c r="A40" s="3">
        <v>34</v>
      </c>
      <c r="B40" s="3"/>
      <c r="C40" s="3" t="s">
        <v>14</v>
      </c>
      <c r="D40" s="5" t="s">
        <v>127</v>
      </c>
      <c r="E40" s="5" t="s">
        <v>12</v>
      </c>
      <c r="F40" s="5" t="str">
        <f>D40&amp;"-"&amp;E40&amp;"(14)"</f>
        <v>P4-TBSI19-M16(14)</v>
      </c>
      <c r="G40" s="4" t="str">
        <f>$A$4&amp;"-"&amp;A40&amp;"/"&amp;F40</f>
        <v>C4S2-34/P4-TBSI19-M16(14)</v>
      </c>
      <c r="H40" s="4" t="str">
        <f>F40&amp;"/"&amp;$A$4&amp;"-"&amp;A40</f>
        <v>P4-TBSI19-M16(14)/C4S2-34</v>
      </c>
      <c r="I40" s="3" t="s">
        <v>126</v>
      </c>
      <c r="J40" s="2" t="s">
        <v>10</v>
      </c>
      <c r="K40" s="3" t="s">
        <v>9</v>
      </c>
      <c r="L40" s="2" t="s">
        <v>8</v>
      </c>
      <c r="M40" s="6" t="s">
        <v>7</v>
      </c>
    </row>
    <row r="41" spans="1:13" ht="19" customHeight="1">
      <c r="A41" s="5">
        <v>35</v>
      </c>
      <c r="B41" s="5"/>
      <c r="C41" s="5" t="s">
        <v>6</v>
      </c>
      <c r="D41" s="5"/>
      <c r="E41" s="5"/>
      <c r="F41" s="5" t="s">
        <v>5</v>
      </c>
      <c r="G41" s="4" t="s">
        <v>5</v>
      </c>
      <c r="H41" s="4" t="s">
        <v>5</v>
      </c>
      <c r="I41" s="5" t="s">
        <v>125</v>
      </c>
      <c r="J41" s="4" t="s">
        <v>3</v>
      </c>
      <c r="K41" s="5" t="s">
        <v>2</v>
      </c>
      <c r="L41" s="4" t="s">
        <v>1</v>
      </c>
      <c r="M41" s="1" t="s">
        <v>0</v>
      </c>
    </row>
    <row r="42" spans="1:13" ht="19" customHeight="1">
      <c r="A42" s="3">
        <v>36</v>
      </c>
      <c r="B42" s="3"/>
      <c r="C42" s="3" t="s">
        <v>6</v>
      </c>
      <c r="D42" s="3"/>
      <c r="E42" s="3"/>
      <c r="F42" s="3" t="s">
        <v>5</v>
      </c>
      <c r="G42" s="2" t="s">
        <v>5</v>
      </c>
      <c r="H42" s="2" t="s">
        <v>5</v>
      </c>
      <c r="I42" s="3" t="s">
        <v>125</v>
      </c>
      <c r="J42" s="2" t="s">
        <v>3</v>
      </c>
      <c r="K42" s="3" t="s">
        <v>2</v>
      </c>
      <c r="L42" s="2" t="s">
        <v>1</v>
      </c>
      <c r="M42" s="1" t="s">
        <v>0</v>
      </c>
    </row>
  </sheetData>
  <mergeCells count="5">
    <mergeCell ref="A1:M1"/>
    <mergeCell ref="A5:G5"/>
    <mergeCell ref="A3:M3"/>
    <mergeCell ref="A2:M2"/>
    <mergeCell ref="H5:M5"/>
  </mergeCells>
  <hyperlinks>
    <hyperlink ref="A5" location="'C4SlotConfig'!A1" display="← Back to Chassis Summary (C4SlotConfig)" xr:uid="{DA61588E-D4D9-614E-850C-8F2DC5CD40D5}"/>
    <hyperlink ref="H5" location="'00_Slot_Index'!A1" display="← Back to Master Slot Directory (00_Slot_Index)" xr:uid="{2083660A-9FF0-E842-BD52-EE04D6F0288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6B8B-0A0E-8B47-A757-A68B4B245FBE}">
  <dimension ref="A1:L42"/>
  <sheetViews>
    <sheetView topLeftCell="A4" workbookViewId="0">
      <selection activeCell="F7" sqref="F7:G41"/>
    </sheetView>
  </sheetViews>
  <sheetFormatPr baseColWidth="10" defaultColWidth="8.83203125" defaultRowHeight="15"/>
  <cols>
    <col min="1" max="1" width="15" customWidth="1"/>
    <col min="2" max="4" width="24" customWidth="1"/>
    <col min="5" max="5" width="32" customWidth="1"/>
    <col min="6" max="7" width="26" customWidth="1"/>
    <col min="8" max="8" width="20" customWidth="1"/>
    <col min="9" max="9" width="25" customWidth="1"/>
    <col min="10" max="10" width="18" customWidth="1"/>
    <col min="11" max="11" width="41" customWidth="1"/>
    <col min="12" max="12" width="18" customWidth="1"/>
  </cols>
  <sheetData>
    <row r="1" spans="1:12" ht="25" customHeight="1">
      <c r="A1" s="15" t="s">
        <v>254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9" customHeight="1">
      <c r="A2" s="14" t="s">
        <v>253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8" customHeight="1">
      <c r="A3" s="13" t="s">
        <v>252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8" customHeight="1">
      <c r="A4" s="12" t="s">
        <v>251</v>
      </c>
    </row>
    <row r="5" spans="1:12" ht="16" customHeight="1">
      <c r="A5" s="11" t="s">
        <v>120</v>
      </c>
      <c r="B5" s="9"/>
      <c r="C5" s="9"/>
      <c r="D5" s="9"/>
      <c r="E5" s="9"/>
      <c r="F5" s="9"/>
      <c r="G5" s="10" t="s">
        <v>119</v>
      </c>
      <c r="H5" s="9"/>
      <c r="I5" s="9"/>
      <c r="J5" s="9"/>
      <c r="K5" s="9"/>
      <c r="L5" s="9"/>
    </row>
    <row r="6" spans="1:12" ht="22" customHeight="1" thickBot="1">
      <c r="A6" s="8" t="s">
        <v>118</v>
      </c>
      <c r="B6" s="8" t="s">
        <v>117</v>
      </c>
      <c r="C6" s="8"/>
      <c r="D6" s="8"/>
      <c r="E6" s="8" t="s">
        <v>250</v>
      </c>
      <c r="F6" s="8" t="s">
        <v>115</v>
      </c>
      <c r="G6" s="8" t="s">
        <v>114</v>
      </c>
      <c r="H6" s="8" t="s">
        <v>113</v>
      </c>
      <c r="I6" s="8" t="s">
        <v>112</v>
      </c>
      <c r="J6" s="8" t="s">
        <v>111</v>
      </c>
      <c r="K6" s="8" t="s">
        <v>110</v>
      </c>
      <c r="L6" s="8" t="s">
        <v>109</v>
      </c>
    </row>
    <row r="7" spans="1:12" ht="19" customHeight="1">
      <c r="A7" s="5">
        <v>1</v>
      </c>
      <c r="B7" s="5" t="s">
        <v>249</v>
      </c>
      <c r="C7" s="5" t="s">
        <v>165</v>
      </c>
      <c r="D7" s="5" t="s">
        <v>59</v>
      </c>
      <c r="E7" s="5" t="str">
        <f>C7&amp;"-"&amp;D7&amp;"(11)"</f>
        <v>P4-TBSI5-M1(11)</v>
      </c>
      <c r="F7" s="4" t="str">
        <f>$A$4&amp;"-"&amp;A7&amp;"/"&amp;E7</f>
        <v>C1S5-1/P4-TBSI5-M1(11)</v>
      </c>
      <c r="G7" s="4" t="str">
        <f>E7&amp;"/"&amp;$A$4&amp;"-"&amp;A7</f>
        <v>P4-TBSI5-M1(11)/C1S5-1</v>
      </c>
      <c r="H7" s="5" t="s">
        <v>4</v>
      </c>
      <c r="I7" s="4" t="s">
        <v>248</v>
      </c>
      <c r="J7" s="5" t="s">
        <v>247</v>
      </c>
      <c r="K7" s="4" t="s">
        <v>224</v>
      </c>
      <c r="L7" s="7" t="s">
        <v>31</v>
      </c>
    </row>
    <row r="8" spans="1:12" ht="19" customHeight="1">
      <c r="A8" s="3">
        <v>2</v>
      </c>
      <c r="B8" s="3" t="s">
        <v>108</v>
      </c>
      <c r="C8" s="5" t="s">
        <v>165</v>
      </c>
      <c r="D8" s="5" t="str">
        <f>D7</f>
        <v>M1</v>
      </c>
      <c r="E8" s="5" t="str">
        <f>C8&amp;"-"&amp;D8&amp;"(14)"</f>
        <v>P4-TBSI5-M1(14)</v>
      </c>
      <c r="F8" s="4" t="str">
        <f>$A$4&amp;"-"&amp;A8&amp;"/"&amp;E8</f>
        <v>C1S5-2/P4-TBSI5-M1(14)</v>
      </c>
      <c r="G8" s="4" t="str">
        <f>E8&amp;"/"&amp;$A$4&amp;"-"&amp;A8</f>
        <v>P4-TBSI5-M1(14)/C1S5-2</v>
      </c>
      <c r="H8" s="3" t="s">
        <v>4</v>
      </c>
      <c r="I8" s="2" t="s">
        <v>248</v>
      </c>
      <c r="J8" s="3" t="s">
        <v>247</v>
      </c>
      <c r="K8" s="2" t="s">
        <v>224</v>
      </c>
      <c r="L8" s="7" t="s">
        <v>31</v>
      </c>
    </row>
    <row r="9" spans="1:12" ht="19" customHeight="1">
      <c r="A9" s="5">
        <v>3</v>
      </c>
      <c r="B9" s="5" t="s">
        <v>246</v>
      </c>
      <c r="C9" s="5" t="s">
        <v>165</v>
      </c>
      <c r="D9" s="5" t="s">
        <v>55</v>
      </c>
      <c r="E9" s="5" t="str">
        <f>C9&amp;"-"&amp;D9&amp;"(11)"</f>
        <v>P4-TBSI5-M2(11)</v>
      </c>
      <c r="F9" s="4" t="str">
        <f>$A$4&amp;"-"&amp;A9&amp;"/"&amp;E9</f>
        <v>C1S5-3/P4-TBSI5-M2(11)</v>
      </c>
      <c r="G9" s="4" t="str">
        <f>E9&amp;"/"&amp;$A$4&amp;"-"&amp;A9</f>
        <v>P4-TBSI5-M2(11)/C1S5-3</v>
      </c>
      <c r="H9" s="5" t="s">
        <v>4</v>
      </c>
      <c r="I9" s="4" t="s">
        <v>245</v>
      </c>
      <c r="J9" s="5" t="s">
        <v>244</v>
      </c>
      <c r="K9" s="4" t="s">
        <v>224</v>
      </c>
      <c r="L9" s="7" t="s">
        <v>31</v>
      </c>
    </row>
    <row r="10" spans="1:12" ht="19" customHeight="1">
      <c r="A10" s="3">
        <v>4</v>
      </c>
      <c r="B10" s="3" t="s">
        <v>105</v>
      </c>
      <c r="C10" s="5" t="s">
        <v>165</v>
      </c>
      <c r="D10" s="5" t="str">
        <f>D9</f>
        <v>M2</v>
      </c>
      <c r="E10" s="5" t="str">
        <f>C10&amp;"-"&amp;D10&amp;"(14)"</f>
        <v>P4-TBSI5-M2(14)</v>
      </c>
      <c r="F10" s="4" t="str">
        <f>$A$4&amp;"-"&amp;A10&amp;"/"&amp;E10</f>
        <v>C1S5-4/P4-TBSI5-M2(14)</v>
      </c>
      <c r="G10" s="4" t="str">
        <f>E10&amp;"/"&amp;$A$4&amp;"-"&amp;A10</f>
        <v>P4-TBSI5-M2(14)/C1S5-4</v>
      </c>
      <c r="H10" s="3" t="s">
        <v>4</v>
      </c>
      <c r="I10" s="2" t="s">
        <v>245</v>
      </c>
      <c r="J10" s="3" t="s">
        <v>244</v>
      </c>
      <c r="K10" s="2" t="s">
        <v>224</v>
      </c>
      <c r="L10" s="7" t="s">
        <v>31</v>
      </c>
    </row>
    <row r="11" spans="1:12" ht="19" customHeight="1">
      <c r="A11" s="5">
        <v>5</v>
      </c>
      <c r="B11" s="5" t="s">
        <v>243</v>
      </c>
      <c r="C11" s="5" t="s">
        <v>165</v>
      </c>
      <c r="D11" s="5" t="s">
        <v>55</v>
      </c>
      <c r="E11" s="5" t="str">
        <f>C11&amp;"-"&amp;D11&amp;"(11)"</f>
        <v>P4-TBSI5-M2(11)</v>
      </c>
      <c r="F11" s="4" t="str">
        <f>$A$4&amp;"-"&amp;A11&amp;"/"&amp;E11</f>
        <v>C1S5-5/P4-TBSI5-M2(11)</v>
      </c>
      <c r="G11" s="4" t="str">
        <f>E11&amp;"/"&amp;$A$4&amp;"-"&amp;A11</f>
        <v>P4-TBSI5-M2(11)/C1S5-5</v>
      </c>
      <c r="H11" s="5" t="s">
        <v>4</v>
      </c>
      <c r="I11" s="4" t="s">
        <v>242</v>
      </c>
      <c r="J11" s="5" t="s">
        <v>241</v>
      </c>
      <c r="K11" s="4" t="s">
        <v>210</v>
      </c>
      <c r="L11" s="7" t="s">
        <v>31</v>
      </c>
    </row>
    <row r="12" spans="1:12" ht="19" customHeight="1">
      <c r="A12" s="3">
        <v>6</v>
      </c>
      <c r="B12" s="3" t="s">
        <v>102</v>
      </c>
      <c r="C12" s="5" t="s">
        <v>165</v>
      </c>
      <c r="D12" s="5" t="str">
        <f>D11</f>
        <v>M2</v>
      </c>
      <c r="E12" s="5" t="str">
        <f>C12&amp;"-"&amp;D12&amp;"(14)"</f>
        <v>P4-TBSI5-M2(14)</v>
      </c>
      <c r="F12" s="4" t="str">
        <f>$A$4&amp;"-"&amp;A12&amp;"/"&amp;E12</f>
        <v>C1S5-6/P4-TBSI5-M2(14)</v>
      </c>
      <c r="G12" s="4" t="str">
        <f>E12&amp;"/"&amp;$A$4&amp;"-"&amp;A12</f>
        <v>P4-TBSI5-M2(14)/C1S5-6</v>
      </c>
      <c r="H12" s="3" t="s">
        <v>4</v>
      </c>
      <c r="I12" s="2" t="s">
        <v>242</v>
      </c>
      <c r="J12" s="3" t="s">
        <v>241</v>
      </c>
      <c r="K12" s="2" t="s">
        <v>210</v>
      </c>
      <c r="L12" s="7" t="s">
        <v>31</v>
      </c>
    </row>
    <row r="13" spans="1:12" ht="19" customHeight="1">
      <c r="A13" s="5">
        <v>7</v>
      </c>
      <c r="B13" s="5" t="s">
        <v>240</v>
      </c>
      <c r="C13" s="5" t="s">
        <v>165</v>
      </c>
      <c r="D13" s="5" t="s">
        <v>51</v>
      </c>
      <c r="E13" s="5" t="str">
        <f>C13&amp;"-"&amp;D13&amp;"(11)"</f>
        <v>P4-TBSI5-M3(11)</v>
      </c>
      <c r="F13" s="4" t="str">
        <f>$A$4&amp;"-"&amp;A13&amp;"/"&amp;E13</f>
        <v>C1S5-7/P4-TBSI5-M3(11)</v>
      </c>
      <c r="G13" s="4" t="str">
        <f>E13&amp;"/"&amp;$A$4&amp;"-"&amp;A13</f>
        <v>P4-TBSI5-M3(11)/C1S5-7</v>
      </c>
      <c r="H13" s="5" t="s">
        <v>4</v>
      </c>
      <c r="I13" s="4" t="s">
        <v>239</v>
      </c>
      <c r="J13" s="5" t="s">
        <v>238</v>
      </c>
      <c r="K13" s="4" t="s">
        <v>210</v>
      </c>
      <c r="L13" s="7" t="s">
        <v>31</v>
      </c>
    </row>
    <row r="14" spans="1:12" ht="19" customHeight="1">
      <c r="A14" s="3">
        <v>8</v>
      </c>
      <c r="B14" s="3" t="s">
        <v>99</v>
      </c>
      <c r="C14" s="5" t="s">
        <v>165</v>
      </c>
      <c r="D14" s="5" t="str">
        <f>D13</f>
        <v>M3</v>
      </c>
      <c r="E14" s="5" t="str">
        <f>C14&amp;"-"&amp;D14&amp;"(14)"</f>
        <v>P4-TBSI5-M3(14)</v>
      </c>
      <c r="F14" s="4" t="str">
        <f>$A$4&amp;"-"&amp;A14&amp;"/"&amp;E14</f>
        <v>C1S5-8/P4-TBSI5-M3(14)</v>
      </c>
      <c r="G14" s="4" t="str">
        <f>E14&amp;"/"&amp;$A$4&amp;"-"&amp;A14</f>
        <v>P4-TBSI5-M3(14)/C1S5-8</v>
      </c>
      <c r="H14" s="3" t="s">
        <v>4</v>
      </c>
      <c r="I14" s="2" t="s">
        <v>239</v>
      </c>
      <c r="J14" s="3" t="s">
        <v>238</v>
      </c>
      <c r="K14" s="2" t="s">
        <v>210</v>
      </c>
      <c r="L14" s="7" t="s">
        <v>31</v>
      </c>
    </row>
    <row r="15" spans="1:12" ht="19" customHeight="1">
      <c r="A15" s="5">
        <v>9</v>
      </c>
      <c r="B15" s="5" t="s">
        <v>214</v>
      </c>
      <c r="C15" s="5" t="s">
        <v>165</v>
      </c>
      <c r="D15" s="5"/>
      <c r="E15" s="5" t="s">
        <v>5</v>
      </c>
      <c r="F15" s="4" t="str">
        <f>$A$4&amp;"-"&amp;A15&amp;"/"&amp;E15</f>
        <v>C1S5-9/0VDC</v>
      </c>
      <c r="G15" s="4" t="str">
        <f>E15&amp;"/"&amp;$A$4&amp;"-"&amp;A15</f>
        <v>0VDC/C1S5-9</v>
      </c>
      <c r="H15" s="5" t="s">
        <v>4</v>
      </c>
      <c r="I15" s="4" t="s">
        <v>3</v>
      </c>
      <c r="J15" s="5" t="s">
        <v>2</v>
      </c>
      <c r="K15" s="4" t="s">
        <v>1</v>
      </c>
      <c r="L15" s="1" t="s">
        <v>0</v>
      </c>
    </row>
    <row r="16" spans="1:12" ht="19" customHeight="1">
      <c r="A16" s="3">
        <v>10</v>
      </c>
      <c r="B16" s="3" t="s">
        <v>214</v>
      </c>
      <c r="C16" s="5" t="s">
        <v>165</v>
      </c>
      <c r="D16" s="5"/>
      <c r="E16" s="3" t="s">
        <v>5</v>
      </c>
      <c r="F16" s="4" t="str">
        <f>$A$4&amp;"-"&amp;A16&amp;"/"&amp;E16</f>
        <v>C1S5-10/0VDC</v>
      </c>
      <c r="G16" s="4" t="str">
        <f>E16&amp;"/"&amp;$A$4&amp;"-"&amp;A16</f>
        <v>0VDC/C1S5-10</v>
      </c>
      <c r="H16" s="3" t="s">
        <v>4</v>
      </c>
      <c r="I16" s="2" t="s">
        <v>3</v>
      </c>
      <c r="J16" s="3" t="s">
        <v>2</v>
      </c>
      <c r="K16" s="2" t="s">
        <v>1</v>
      </c>
      <c r="L16" s="1" t="s">
        <v>0</v>
      </c>
    </row>
    <row r="17" spans="1:12" ht="19" customHeight="1">
      <c r="A17" s="5">
        <v>11</v>
      </c>
      <c r="B17" s="5" t="s">
        <v>237</v>
      </c>
      <c r="C17" s="5" t="s">
        <v>165</v>
      </c>
      <c r="D17" s="5" t="s">
        <v>43</v>
      </c>
      <c r="E17" s="5" t="str">
        <f>C17&amp;"-"&amp;D17&amp;"(11)"</f>
        <v>P4-TBSI5-M5(11)</v>
      </c>
      <c r="F17" s="4" t="str">
        <f>$A$4&amp;"-"&amp;A17&amp;"/"&amp;E17</f>
        <v>C1S5-11/P4-TBSI5-M5(11)</v>
      </c>
      <c r="G17" s="4" t="str">
        <f>E17&amp;"/"&amp;$A$4&amp;"-"&amp;A17</f>
        <v>P4-TBSI5-M5(11)/C1S5-11</v>
      </c>
      <c r="H17" s="5" t="s">
        <v>4</v>
      </c>
      <c r="I17" s="4" t="s">
        <v>236</v>
      </c>
      <c r="J17" s="5" t="s">
        <v>235</v>
      </c>
      <c r="K17" s="4" t="s">
        <v>210</v>
      </c>
      <c r="L17" s="7" t="s">
        <v>31</v>
      </c>
    </row>
    <row r="18" spans="1:12" ht="19" customHeight="1">
      <c r="A18" s="3">
        <v>12</v>
      </c>
      <c r="B18" s="3" t="s">
        <v>96</v>
      </c>
      <c r="C18" s="5" t="s">
        <v>165</v>
      </c>
      <c r="D18" s="5" t="str">
        <f>D17</f>
        <v>M5</v>
      </c>
      <c r="E18" s="5" t="str">
        <f>C18&amp;"-"&amp;D18&amp;"(14)"</f>
        <v>P4-TBSI5-M5(14)</v>
      </c>
      <c r="F18" s="4" t="str">
        <f>$A$4&amp;"-"&amp;A18&amp;"/"&amp;E18</f>
        <v>C1S5-12/P4-TBSI5-M5(14)</v>
      </c>
      <c r="G18" s="4" t="str">
        <f>E18&amp;"/"&amp;$A$4&amp;"-"&amp;A18</f>
        <v>P4-TBSI5-M5(14)/C1S5-12</v>
      </c>
      <c r="H18" s="3" t="s">
        <v>4</v>
      </c>
      <c r="I18" s="2" t="s">
        <v>236</v>
      </c>
      <c r="J18" s="3" t="s">
        <v>235</v>
      </c>
      <c r="K18" s="2" t="s">
        <v>210</v>
      </c>
      <c r="L18" s="7" t="s">
        <v>31</v>
      </c>
    </row>
    <row r="19" spans="1:12" ht="19" customHeight="1">
      <c r="A19" s="5">
        <v>13</v>
      </c>
      <c r="B19" s="5" t="s">
        <v>234</v>
      </c>
      <c r="C19" s="5" t="s">
        <v>165</v>
      </c>
      <c r="D19" s="5" t="s">
        <v>39</v>
      </c>
      <c r="E19" s="5" t="str">
        <f>C19&amp;"-"&amp;D19&amp;"(11)"</f>
        <v>P4-TBSI5-M6(11)</v>
      </c>
      <c r="F19" s="4" t="str">
        <f>$A$4&amp;"-"&amp;A19&amp;"/"&amp;E19</f>
        <v>C1S5-13/P4-TBSI5-M6(11)</v>
      </c>
      <c r="G19" s="4" t="str">
        <f>E19&amp;"/"&amp;$A$4&amp;"-"&amp;A19</f>
        <v>P4-TBSI5-M6(11)/C1S5-13</v>
      </c>
      <c r="H19" s="5" t="s">
        <v>4</v>
      </c>
      <c r="I19" s="4" t="s">
        <v>233</v>
      </c>
      <c r="J19" s="5" t="s">
        <v>232</v>
      </c>
      <c r="K19" s="4" t="s">
        <v>210</v>
      </c>
      <c r="L19" s="7" t="s">
        <v>31</v>
      </c>
    </row>
    <row r="20" spans="1:12" ht="19" customHeight="1">
      <c r="A20" s="3">
        <v>14</v>
      </c>
      <c r="B20" s="3" t="s">
        <v>93</v>
      </c>
      <c r="C20" s="5" t="s">
        <v>165</v>
      </c>
      <c r="D20" s="5" t="str">
        <f>D19</f>
        <v>M6</v>
      </c>
      <c r="E20" s="5" t="str">
        <f>C20&amp;"-"&amp;D20&amp;"(14)"</f>
        <v>P4-TBSI5-M6(14)</v>
      </c>
      <c r="F20" s="4" t="str">
        <f>$A$4&amp;"-"&amp;A20&amp;"/"&amp;E20</f>
        <v>C1S5-14/P4-TBSI5-M6(14)</v>
      </c>
      <c r="G20" s="4" t="str">
        <f>E20&amp;"/"&amp;$A$4&amp;"-"&amp;A20</f>
        <v>P4-TBSI5-M6(14)/C1S5-14</v>
      </c>
      <c r="H20" s="3" t="s">
        <v>4</v>
      </c>
      <c r="I20" s="2" t="s">
        <v>233</v>
      </c>
      <c r="J20" s="3" t="s">
        <v>232</v>
      </c>
      <c r="K20" s="2" t="s">
        <v>210</v>
      </c>
      <c r="L20" s="7" t="s">
        <v>31</v>
      </c>
    </row>
    <row r="21" spans="1:12" ht="19" customHeight="1">
      <c r="A21" s="5">
        <v>15</v>
      </c>
      <c r="B21" s="5" t="s">
        <v>231</v>
      </c>
      <c r="C21" s="5" t="s">
        <v>165</v>
      </c>
      <c r="D21" s="5" t="s">
        <v>35</v>
      </c>
      <c r="E21" s="5" t="str">
        <f>C21&amp;"-"&amp;D21&amp;"(11)"</f>
        <v>P4-TBSI5-M7(11)</v>
      </c>
      <c r="F21" s="4" t="str">
        <f>$A$4&amp;"-"&amp;A21&amp;"/"&amp;E21</f>
        <v>C1S5-15/P4-TBSI5-M7(11)</v>
      </c>
      <c r="G21" s="4" t="str">
        <f>E21&amp;"/"&amp;$A$4&amp;"-"&amp;A21</f>
        <v>P4-TBSI5-M7(11)/C1S5-15</v>
      </c>
      <c r="H21" s="5" t="s">
        <v>4</v>
      </c>
      <c r="I21" s="4" t="s">
        <v>230</v>
      </c>
      <c r="J21" s="5" t="s">
        <v>229</v>
      </c>
      <c r="K21" s="4" t="s">
        <v>210</v>
      </c>
      <c r="L21" s="7" t="s">
        <v>31</v>
      </c>
    </row>
    <row r="22" spans="1:12" ht="19" customHeight="1">
      <c r="A22" s="3">
        <v>16</v>
      </c>
      <c r="B22" s="3" t="s">
        <v>90</v>
      </c>
      <c r="C22" s="5" t="s">
        <v>165</v>
      </c>
      <c r="D22" s="5" t="str">
        <f>D21</f>
        <v>M7</v>
      </c>
      <c r="E22" s="5" t="str">
        <f>C22&amp;"-"&amp;D22&amp;"(14)"</f>
        <v>P4-TBSI5-M7(14)</v>
      </c>
      <c r="F22" s="4" t="str">
        <f>$A$4&amp;"-"&amp;A22&amp;"/"&amp;E22</f>
        <v>C1S5-16/P4-TBSI5-M7(14)</v>
      </c>
      <c r="G22" s="4" t="str">
        <f>E22&amp;"/"&amp;$A$4&amp;"-"&amp;A22</f>
        <v>P4-TBSI5-M7(14)/C1S5-16</v>
      </c>
      <c r="H22" s="3" t="s">
        <v>4</v>
      </c>
      <c r="I22" s="2" t="s">
        <v>230</v>
      </c>
      <c r="J22" s="3" t="s">
        <v>229</v>
      </c>
      <c r="K22" s="2" t="s">
        <v>210</v>
      </c>
      <c r="L22" s="7" t="s">
        <v>31</v>
      </c>
    </row>
    <row r="23" spans="1:12" ht="19" customHeight="1">
      <c r="A23" s="5">
        <v>17</v>
      </c>
      <c r="B23" s="5" t="s">
        <v>228</v>
      </c>
      <c r="C23" s="5" t="s">
        <v>165</v>
      </c>
      <c r="D23" s="5" t="s">
        <v>29</v>
      </c>
      <c r="E23" s="5" t="str">
        <f>C23&amp;"-"&amp;D23&amp;"(11)"</f>
        <v>P4-TBSI5-M8(11)</v>
      </c>
      <c r="F23" s="4" t="str">
        <f>$A$4&amp;"-"&amp;A23&amp;"/"&amp;E23</f>
        <v>C1S5-17/P4-TBSI5-M8(11)</v>
      </c>
      <c r="G23" s="4" t="str">
        <f>E23&amp;"/"&amp;$A$4&amp;"-"&amp;A23</f>
        <v>P4-TBSI5-M8(11)/C1S5-17</v>
      </c>
      <c r="H23" s="5" t="s">
        <v>4</v>
      </c>
      <c r="I23" s="4" t="s">
        <v>203</v>
      </c>
      <c r="J23" s="5" t="s">
        <v>9</v>
      </c>
      <c r="K23" s="4" t="s">
        <v>8</v>
      </c>
      <c r="L23" s="6" t="s">
        <v>7</v>
      </c>
    </row>
    <row r="24" spans="1:12" ht="19" customHeight="1">
      <c r="A24" s="3">
        <v>18</v>
      </c>
      <c r="B24" s="3" t="s">
        <v>87</v>
      </c>
      <c r="C24" s="5" t="s">
        <v>165</v>
      </c>
      <c r="D24" s="5" t="str">
        <f>D23</f>
        <v>M8</v>
      </c>
      <c r="E24" s="5" t="str">
        <f>C24&amp;"-"&amp;D24&amp;"(14)"</f>
        <v>P4-TBSI5-M8(14)</v>
      </c>
      <c r="F24" s="4" t="str">
        <f>$A$4&amp;"-"&amp;A24&amp;"/"&amp;E24</f>
        <v>C1S5-18/P4-TBSI5-M8(14)</v>
      </c>
      <c r="G24" s="4" t="str">
        <f>E24&amp;"/"&amp;$A$4&amp;"-"&amp;A24</f>
        <v>P4-TBSI5-M8(14)/C1S5-18</v>
      </c>
      <c r="H24" s="3" t="s">
        <v>4</v>
      </c>
      <c r="I24" s="2" t="s">
        <v>203</v>
      </c>
      <c r="J24" s="3" t="s">
        <v>9</v>
      </c>
      <c r="K24" s="2" t="s">
        <v>8</v>
      </c>
      <c r="L24" s="6" t="s">
        <v>7</v>
      </c>
    </row>
    <row r="25" spans="1:12" ht="19" customHeight="1">
      <c r="A25" s="5">
        <v>19</v>
      </c>
      <c r="B25" s="5" t="s">
        <v>227</v>
      </c>
      <c r="C25" s="5" t="s">
        <v>165</v>
      </c>
      <c r="D25" s="5" t="s">
        <v>27</v>
      </c>
      <c r="E25" s="5" t="str">
        <f>C25&amp;"-"&amp;D25&amp;"(11)"</f>
        <v>P4-TBSI5-M9(11)</v>
      </c>
      <c r="F25" s="4" t="str">
        <f>$A$4&amp;"-"&amp;A25&amp;"/"&amp;E25</f>
        <v>C1S5-19/P4-TBSI5-M9(11)</v>
      </c>
      <c r="G25" s="4" t="str">
        <f>E25&amp;"/"&amp;$A$4&amp;"-"&amp;A25</f>
        <v>P4-TBSI5-M9(11)/C1S5-19</v>
      </c>
      <c r="H25" s="5" t="s">
        <v>11</v>
      </c>
      <c r="I25" s="4" t="s">
        <v>226</v>
      </c>
      <c r="J25" s="5" t="s">
        <v>225</v>
      </c>
      <c r="K25" s="4" t="s">
        <v>224</v>
      </c>
      <c r="L25" s="7" t="s">
        <v>31</v>
      </c>
    </row>
    <row r="26" spans="1:12" ht="19" customHeight="1">
      <c r="A26" s="3">
        <v>20</v>
      </c>
      <c r="B26" s="3" t="s">
        <v>84</v>
      </c>
      <c r="C26" s="5" t="s">
        <v>165</v>
      </c>
      <c r="D26" s="5" t="str">
        <f>D25</f>
        <v>M9</v>
      </c>
      <c r="E26" s="5" t="str">
        <f>C26&amp;"-"&amp;D26&amp;"(14)"</f>
        <v>P4-TBSI5-M9(14)</v>
      </c>
      <c r="F26" s="4" t="str">
        <f>$A$4&amp;"-"&amp;A26&amp;"/"&amp;E26</f>
        <v>C1S5-20/P4-TBSI5-M9(14)</v>
      </c>
      <c r="G26" s="4" t="str">
        <f>E26&amp;"/"&amp;$A$4&amp;"-"&amp;A26</f>
        <v>P4-TBSI5-M9(14)/C1S5-20</v>
      </c>
      <c r="H26" s="3" t="s">
        <v>11</v>
      </c>
      <c r="I26" s="2" t="s">
        <v>226</v>
      </c>
      <c r="J26" s="3" t="s">
        <v>225</v>
      </c>
      <c r="K26" s="2" t="s">
        <v>224</v>
      </c>
      <c r="L26" s="7" t="s">
        <v>31</v>
      </c>
    </row>
    <row r="27" spans="1:12" ht="19" customHeight="1">
      <c r="A27" s="5">
        <v>21</v>
      </c>
      <c r="B27" s="5" t="s">
        <v>223</v>
      </c>
      <c r="C27" s="5" t="s">
        <v>165</v>
      </c>
      <c r="D27" s="5" t="s">
        <v>25</v>
      </c>
      <c r="E27" s="5" t="str">
        <f>C27&amp;"-"&amp;D27&amp;"(11)"</f>
        <v>P4-TBSI5-M10(11)</v>
      </c>
      <c r="F27" s="4" t="str">
        <f>$A$4&amp;"-"&amp;A27&amp;"/"&amp;E27</f>
        <v>C1S5-21/P4-TBSI5-M10(11)</v>
      </c>
      <c r="G27" s="4" t="str">
        <f>E27&amp;"/"&amp;$A$4&amp;"-"&amp;A27</f>
        <v>P4-TBSI5-M10(11)/C1S5-21</v>
      </c>
      <c r="H27" s="5" t="s">
        <v>11</v>
      </c>
      <c r="I27" s="4" t="s">
        <v>222</v>
      </c>
      <c r="J27" s="5" t="s">
        <v>221</v>
      </c>
      <c r="K27" s="4" t="s">
        <v>210</v>
      </c>
      <c r="L27" s="7" t="s">
        <v>31</v>
      </c>
    </row>
    <row r="28" spans="1:12" ht="19" customHeight="1">
      <c r="A28" s="3">
        <v>22</v>
      </c>
      <c r="B28" s="3" t="s">
        <v>81</v>
      </c>
      <c r="C28" s="5" t="s">
        <v>165</v>
      </c>
      <c r="D28" s="5" t="str">
        <f>D27</f>
        <v>M10</v>
      </c>
      <c r="E28" s="5" t="str">
        <f>C28&amp;"-"&amp;D28&amp;"(14)"</f>
        <v>P4-TBSI5-M10(14)</v>
      </c>
      <c r="F28" s="4" t="str">
        <f>$A$4&amp;"-"&amp;A28&amp;"/"&amp;E28</f>
        <v>C1S5-22/P4-TBSI5-M10(14)</v>
      </c>
      <c r="G28" s="4" t="str">
        <f>E28&amp;"/"&amp;$A$4&amp;"-"&amp;A28</f>
        <v>P4-TBSI5-M10(14)/C1S5-22</v>
      </c>
      <c r="H28" s="3" t="s">
        <v>11</v>
      </c>
      <c r="I28" s="2" t="s">
        <v>222</v>
      </c>
      <c r="J28" s="3" t="s">
        <v>221</v>
      </c>
      <c r="K28" s="2" t="s">
        <v>210</v>
      </c>
      <c r="L28" s="7" t="s">
        <v>31</v>
      </c>
    </row>
    <row r="29" spans="1:12" ht="19" customHeight="1">
      <c r="A29" s="5">
        <v>23</v>
      </c>
      <c r="B29" s="5" t="s">
        <v>220</v>
      </c>
      <c r="C29" s="5" t="s">
        <v>165</v>
      </c>
      <c r="D29" s="5" t="s">
        <v>23</v>
      </c>
      <c r="E29" s="5" t="str">
        <f>C29&amp;"-"&amp;D29&amp;"(11)"</f>
        <v>P4-TBSI5-M11(11)</v>
      </c>
      <c r="F29" s="4" t="str">
        <f>$A$4&amp;"-"&amp;A29&amp;"/"&amp;E29</f>
        <v>C1S5-23/P4-TBSI5-M11(11)</v>
      </c>
      <c r="G29" s="4" t="str">
        <f>E29&amp;"/"&amp;$A$4&amp;"-"&amp;A29</f>
        <v>P4-TBSI5-M11(11)/C1S5-23</v>
      </c>
      <c r="H29" s="5" t="s">
        <v>11</v>
      </c>
      <c r="I29" s="4" t="s">
        <v>219</v>
      </c>
      <c r="J29" s="5" t="s">
        <v>218</v>
      </c>
      <c r="K29" s="4" t="s">
        <v>210</v>
      </c>
      <c r="L29" s="7" t="s">
        <v>31</v>
      </c>
    </row>
    <row r="30" spans="1:12" ht="19" customHeight="1">
      <c r="A30" s="3">
        <v>24</v>
      </c>
      <c r="B30" s="3" t="s">
        <v>78</v>
      </c>
      <c r="C30" s="5" t="s">
        <v>165</v>
      </c>
      <c r="D30" s="5" t="str">
        <f>D29</f>
        <v>M11</v>
      </c>
      <c r="E30" s="5" t="str">
        <f>C30&amp;"-"&amp;D30&amp;"(14)"</f>
        <v>P4-TBSI5-M11(14)</v>
      </c>
      <c r="F30" s="4" t="str">
        <f>$A$4&amp;"-"&amp;A30&amp;"/"&amp;E30</f>
        <v>C1S5-24/P4-TBSI5-M11(14)</v>
      </c>
      <c r="G30" s="4" t="str">
        <f>E30&amp;"/"&amp;$A$4&amp;"-"&amp;A30</f>
        <v>P4-TBSI5-M11(14)/C1S5-24</v>
      </c>
      <c r="H30" s="3" t="s">
        <v>11</v>
      </c>
      <c r="I30" s="2" t="s">
        <v>219</v>
      </c>
      <c r="J30" s="3" t="s">
        <v>218</v>
      </c>
      <c r="K30" s="2" t="s">
        <v>210</v>
      </c>
      <c r="L30" s="7" t="s">
        <v>31</v>
      </c>
    </row>
    <row r="31" spans="1:12" ht="19" customHeight="1">
      <c r="A31" s="5">
        <v>25</v>
      </c>
      <c r="B31" s="5" t="s">
        <v>217</v>
      </c>
      <c r="C31" s="5" t="s">
        <v>165</v>
      </c>
      <c r="D31" s="5" t="s">
        <v>21</v>
      </c>
      <c r="E31" s="5" t="str">
        <f>C31&amp;"-"&amp;D31&amp;"(11)"</f>
        <v>P4-TBSI5-M12(11)</v>
      </c>
      <c r="F31" s="4" t="str">
        <f>$A$4&amp;"-"&amp;A31&amp;"/"&amp;E31</f>
        <v>C1S5-25/P4-TBSI5-M12(11)</v>
      </c>
      <c r="G31" s="4" t="str">
        <f>E31&amp;"/"&amp;$A$4&amp;"-"&amp;A31</f>
        <v>P4-TBSI5-M12(11)/C1S5-25</v>
      </c>
      <c r="H31" s="5" t="s">
        <v>11</v>
      </c>
      <c r="I31" s="4" t="s">
        <v>216</v>
      </c>
      <c r="J31" s="5" t="s">
        <v>215</v>
      </c>
      <c r="K31" s="4" t="s">
        <v>210</v>
      </c>
      <c r="L31" s="7" t="s">
        <v>31</v>
      </c>
    </row>
    <row r="32" spans="1:12" ht="19" customHeight="1">
      <c r="A32" s="3">
        <v>26</v>
      </c>
      <c r="B32" s="3" t="s">
        <v>75</v>
      </c>
      <c r="C32" s="5" t="s">
        <v>165</v>
      </c>
      <c r="D32" s="5" t="str">
        <f>D31</f>
        <v>M12</v>
      </c>
      <c r="E32" s="5" t="str">
        <f>C32&amp;"-"&amp;D32&amp;"(14)"</f>
        <v>P4-TBSI5-M12(14)</v>
      </c>
      <c r="F32" s="4" t="str">
        <f>$A$4&amp;"-"&amp;A32&amp;"/"&amp;E32</f>
        <v>C1S5-26/P4-TBSI5-M12(14)</v>
      </c>
      <c r="G32" s="4" t="str">
        <f>E32&amp;"/"&amp;$A$4&amp;"-"&amp;A32</f>
        <v>P4-TBSI5-M12(14)/C1S5-26</v>
      </c>
      <c r="H32" s="3" t="s">
        <v>11</v>
      </c>
      <c r="I32" s="2" t="s">
        <v>216</v>
      </c>
      <c r="J32" s="3" t="s">
        <v>215</v>
      </c>
      <c r="K32" s="2" t="s">
        <v>210</v>
      </c>
      <c r="L32" s="7" t="s">
        <v>31</v>
      </c>
    </row>
    <row r="33" spans="1:12" ht="19" customHeight="1">
      <c r="A33" s="5">
        <v>27</v>
      </c>
      <c r="B33" s="5" t="s">
        <v>214</v>
      </c>
      <c r="C33" s="5" t="s">
        <v>165</v>
      </c>
      <c r="D33" s="5"/>
      <c r="E33" s="5" t="s">
        <v>5</v>
      </c>
      <c r="F33" s="4" t="str">
        <f>$A$4&amp;"-"&amp;A33&amp;"/"&amp;E33</f>
        <v>C1S5-27/0VDC</v>
      </c>
      <c r="G33" s="4" t="str">
        <f>E33&amp;"/"&amp;$A$4&amp;"-"&amp;A33</f>
        <v>0VDC/C1S5-27</v>
      </c>
      <c r="H33" s="5" t="s">
        <v>4</v>
      </c>
      <c r="I33" s="4" t="s">
        <v>3</v>
      </c>
      <c r="J33" s="5" t="s">
        <v>2</v>
      </c>
      <c r="K33" s="4" t="s">
        <v>1</v>
      </c>
      <c r="L33" s="1" t="s">
        <v>0</v>
      </c>
    </row>
    <row r="34" spans="1:12" ht="19" customHeight="1">
      <c r="A34" s="3">
        <v>28</v>
      </c>
      <c r="B34" s="3" t="s">
        <v>214</v>
      </c>
      <c r="C34" s="5" t="s">
        <v>165</v>
      </c>
      <c r="D34" s="5"/>
      <c r="E34" s="3" t="s">
        <v>5</v>
      </c>
      <c r="F34" s="4" t="str">
        <f>$A$4&amp;"-"&amp;A34&amp;"/"&amp;E34</f>
        <v>C1S5-28/0VDC</v>
      </c>
      <c r="G34" s="4" t="str">
        <f>E34&amp;"/"&amp;$A$4&amp;"-"&amp;A34</f>
        <v>0VDC/C1S5-28</v>
      </c>
      <c r="H34" s="3" t="s">
        <v>4</v>
      </c>
      <c r="I34" s="2" t="s">
        <v>3</v>
      </c>
      <c r="J34" s="3" t="s">
        <v>2</v>
      </c>
      <c r="K34" s="2" t="s">
        <v>1</v>
      </c>
      <c r="L34" s="1" t="s">
        <v>0</v>
      </c>
    </row>
    <row r="35" spans="1:12" ht="19" customHeight="1">
      <c r="A35" s="5">
        <v>29</v>
      </c>
      <c r="B35" s="5" t="s">
        <v>213</v>
      </c>
      <c r="C35" s="5" t="s">
        <v>165</v>
      </c>
      <c r="D35" s="5" t="s">
        <v>19</v>
      </c>
      <c r="E35" s="5" t="str">
        <f>C35&amp;"-"&amp;D35&amp;"(11)"</f>
        <v>P4-TBSI5-M13(11)</v>
      </c>
      <c r="F35" s="4" t="str">
        <f>$A$4&amp;"-"&amp;A35&amp;"/"&amp;E35</f>
        <v>C1S5-29/P4-TBSI5-M13(11)</v>
      </c>
      <c r="G35" s="4" t="str">
        <f>E35&amp;"/"&amp;$A$4&amp;"-"&amp;A35</f>
        <v>P4-TBSI5-M13(11)/C1S5-29</v>
      </c>
      <c r="H35" s="5" t="s">
        <v>11</v>
      </c>
      <c r="I35" s="4" t="s">
        <v>212</v>
      </c>
      <c r="J35" s="5" t="s">
        <v>211</v>
      </c>
      <c r="K35" s="4" t="s">
        <v>210</v>
      </c>
      <c r="L35" s="7" t="s">
        <v>31</v>
      </c>
    </row>
    <row r="36" spans="1:12" ht="19" customHeight="1">
      <c r="A36" s="3">
        <v>30</v>
      </c>
      <c r="B36" s="3" t="s">
        <v>72</v>
      </c>
      <c r="C36" s="5" t="s">
        <v>165</v>
      </c>
      <c r="D36" s="5" t="str">
        <f>D35</f>
        <v>M13</v>
      </c>
      <c r="E36" s="5" t="str">
        <f>C36&amp;"-"&amp;D36&amp;"(14)"</f>
        <v>P4-TBSI5-M13(14)</v>
      </c>
      <c r="F36" s="4" t="str">
        <f>$A$4&amp;"-"&amp;A36&amp;"/"&amp;E36</f>
        <v>C1S5-30/P4-TBSI5-M13(14)</v>
      </c>
      <c r="G36" s="4" t="str">
        <f>E36&amp;"/"&amp;$A$4&amp;"-"&amp;A36</f>
        <v>P4-TBSI5-M13(14)/C1S5-30</v>
      </c>
      <c r="H36" s="3" t="s">
        <v>11</v>
      </c>
      <c r="I36" s="2" t="s">
        <v>212</v>
      </c>
      <c r="J36" s="3" t="s">
        <v>211</v>
      </c>
      <c r="K36" s="2" t="s">
        <v>210</v>
      </c>
      <c r="L36" s="7" t="s">
        <v>31</v>
      </c>
    </row>
    <row r="37" spans="1:12" ht="19" customHeight="1">
      <c r="A37" s="5">
        <v>31</v>
      </c>
      <c r="B37" s="5" t="s">
        <v>209</v>
      </c>
      <c r="C37" s="5" t="s">
        <v>165</v>
      </c>
      <c r="D37" s="5" t="s">
        <v>17</v>
      </c>
      <c r="E37" s="5" t="str">
        <f>C37&amp;"-"&amp;D37&amp;"(11)"</f>
        <v>P4-TBSI5-M14(11)</v>
      </c>
      <c r="F37" s="4" t="str">
        <f>$A$4&amp;"-"&amp;A37&amp;"/"&amp;E37</f>
        <v>C1S5-31/P4-TBSI5-M14(11)</v>
      </c>
      <c r="G37" s="4" t="str">
        <f>E37&amp;"/"&amp;$A$4&amp;"-"&amp;A37</f>
        <v>P4-TBSI5-M14(11)/C1S5-31</v>
      </c>
      <c r="H37" s="5" t="s">
        <v>11</v>
      </c>
      <c r="I37" s="4" t="s">
        <v>208</v>
      </c>
      <c r="J37" s="5" t="s">
        <v>207</v>
      </c>
      <c r="K37" s="4" t="s">
        <v>206</v>
      </c>
      <c r="L37" s="7" t="s">
        <v>31</v>
      </c>
    </row>
    <row r="38" spans="1:12" ht="19" customHeight="1">
      <c r="A38" s="3">
        <v>32</v>
      </c>
      <c r="B38" s="3" t="s">
        <v>69</v>
      </c>
      <c r="C38" s="5" t="s">
        <v>165</v>
      </c>
      <c r="D38" s="5" t="str">
        <f>D37</f>
        <v>M14</v>
      </c>
      <c r="E38" s="5" t="str">
        <f>C38&amp;"-"&amp;D38&amp;"(14)"</f>
        <v>P4-TBSI5-M14(14)</v>
      </c>
      <c r="F38" s="4" t="str">
        <f>$A$4&amp;"-"&amp;A38&amp;"/"&amp;E38</f>
        <v>C1S5-32/P4-TBSI5-M14(14)</v>
      </c>
      <c r="G38" s="4" t="str">
        <f>E38&amp;"/"&amp;$A$4&amp;"-"&amp;A38</f>
        <v>P4-TBSI5-M14(14)/C1S5-32</v>
      </c>
      <c r="H38" s="3" t="s">
        <v>11</v>
      </c>
      <c r="I38" s="2" t="s">
        <v>208</v>
      </c>
      <c r="J38" s="3" t="s">
        <v>207</v>
      </c>
      <c r="K38" s="2" t="s">
        <v>206</v>
      </c>
      <c r="L38" s="7" t="s">
        <v>31</v>
      </c>
    </row>
    <row r="39" spans="1:12" ht="19" customHeight="1">
      <c r="A39" s="5">
        <v>33</v>
      </c>
      <c r="B39" s="5" t="s">
        <v>205</v>
      </c>
      <c r="C39" s="5" t="s">
        <v>165</v>
      </c>
      <c r="D39" s="5" t="s">
        <v>15</v>
      </c>
      <c r="E39" s="5" t="str">
        <f>C39&amp;"-"&amp;D39&amp;"(11)"</f>
        <v>P4-TBSI5-M15(11)</v>
      </c>
      <c r="F39" s="4" t="str">
        <f>$A$4&amp;"-"&amp;A39&amp;"/"&amp;E39</f>
        <v>C1S5-33/P4-TBSI5-M15(11)</v>
      </c>
      <c r="G39" s="4" t="str">
        <f>E39&amp;"/"&amp;$A$4&amp;"-"&amp;A39</f>
        <v>P4-TBSI5-M15(11)/C1S5-33</v>
      </c>
      <c r="H39" s="5" t="s">
        <v>11</v>
      </c>
      <c r="I39" s="4" t="s">
        <v>203</v>
      </c>
      <c r="J39" s="5" t="s">
        <v>9</v>
      </c>
      <c r="K39" s="4" t="s">
        <v>8</v>
      </c>
      <c r="L39" s="6" t="s">
        <v>7</v>
      </c>
    </row>
    <row r="40" spans="1:12" ht="19" customHeight="1">
      <c r="A40" s="3">
        <v>34</v>
      </c>
      <c r="B40" s="3" t="s">
        <v>66</v>
      </c>
      <c r="C40" s="5" t="s">
        <v>165</v>
      </c>
      <c r="D40" s="5" t="str">
        <f>D39</f>
        <v>M15</v>
      </c>
      <c r="E40" s="5" t="str">
        <f>C40&amp;"-"&amp;D40&amp;"(14)"</f>
        <v>P4-TBSI5-M15(14)</v>
      </c>
      <c r="F40" s="4" t="str">
        <f>$A$4&amp;"-"&amp;A40&amp;"/"&amp;E40</f>
        <v>C1S5-34/P4-TBSI5-M15(14)</v>
      </c>
      <c r="G40" s="4" t="str">
        <f>E40&amp;"/"&amp;$A$4&amp;"-"&amp;A40</f>
        <v>P4-TBSI5-M15(14)/C1S5-34</v>
      </c>
      <c r="H40" s="3" t="s">
        <v>11</v>
      </c>
      <c r="I40" s="2" t="s">
        <v>203</v>
      </c>
      <c r="J40" s="3" t="s">
        <v>9</v>
      </c>
      <c r="K40" s="2" t="s">
        <v>8</v>
      </c>
      <c r="L40" s="6" t="s">
        <v>7</v>
      </c>
    </row>
    <row r="41" spans="1:12" ht="19" customHeight="1">
      <c r="A41" s="5">
        <v>35</v>
      </c>
      <c r="B41" s="5" t="s">
        <v>204</v>
      </c>
      <c r="C41" s="5" t="s">
        <v>165</v>
      </c>
      <c r="D41" s="5" t="s">
        <v>12</v>
      </c>
      <c r="E41" s="5" t="str">
        <f>C41&amp;"-"&amp;D41&amp;"(11)"</f>
        <v>P4-TBSI5-M16(11)</v>
      </c>
      <c r="F41" s="4" t="str">
        <f>$A$4&amp;"-"&amp;A41&amp;"/"&amp;E41</f>
        <v>C1S5-35/P4-TBSI5-M16(11)</v>
      </c>
      <c r="G41" s="4" t="str">
        <f>E41&amp;"/"&amp;$A$4&amp;"-"&amp;A41</f>
        <v>P4-TBSI5-M16(11)/C1S5-35</v>
      </c>
      <c r="H41" s="5" t="s">
        <v>11</v>
      </c>
      <c r="I41" s="4" t="s">
        <v>203</v>
      </c>
      <c r="J41" s="5" t="s">
        <v>9</v>
      </c>
      <c r="K41" s="4" t="s">
        <v>8</v>
      </c>
      <c r="L41" s="6" t="s">
        <v>7</v>
      </c>
    </row>
    <row r="42" spans="1:12" ht="19" customHeight="1">
      <c r="A42" s="3">
        <v>36</v>
      </c>
      <c r="B42" s="3" t="s">
        <v>63</v>
      </c>
      <c r="C42" s="5" t="s">
        <v>165</v>
      </c>
      <c r="D42" s="5" t="str">
        <f>D41</f>
        <v>M16</v>
      </c>
      <c r="E42" s="5" t="str">
        <f>C42&amp;"-"&amp;D42&amp;"(14)"</f>
        <v>P4-TBSI5-M16(14)</v>
      </c>
      <c r="F42" s="4" t="str">
        <f>$A$4&amp;"-"&amp;A42&amp;"/"&amp;E42</f>
        <v>C1S5-36/P4-TBSI5-M16(14)</v>
      </c>
      <c r="G42" s="4" t="str">
        <f>E42&amp;"/"&amp;$A$4&amp;"-"&amp;A42</f>
        <v>P4-TBSI5-M16(14)/C1S5-36</v>
      </c>
      <c r="H42" s="3" t="s">
        <v>11</v>
      </c>
      <c r="I42" s="2" t="s">
        <v>203</v>
      </c>
      <c r="J42" s="3" t="s">
        <v>9</v>
      </c>
      <c r="K42" s="2" t="s">
        <v>8</v>
      </c>
      <c r="L42" s="6" t="s">
        <v>7</v>
      </c>
    </row>
  </sheetData>
  <mergeCells count="5">
    <mergeCell ref="A1:L1"/>
    <mergeCell ref="A5:F5"/>
    <mergeCell ref="A3:L3"/>
    <mergeCell ref="A2:L2"/>
    <mergeCell ref="G5:L5"/>
  </mergeCells>
  <hyperlinks>
    <hyperlink ref="A5" location="'C4SlotConfig'!A1" display="← Back to Chassis Summary (C4SlotConfig)" xr:uid="{B82CA460-00CA-2C4C-883E-50DA01C62BA8}"/>
    <hyperlink ref="G5" location="'00_Slot_Index'!A1" display="← Back to Master Slot Directory (00_Slot_Index)" xr:uid="{2D09AB5D-AC5C-8140-BCE9-9618C36071D5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7DA4-5BB9-4642-ABD8-39EAC28ACAF6}">
  <dimension ref="A1:L42"/>
  <sheetViews>
    <sheetView workbookViewId="0">
      <selection activeCell="F7" sqref="F7:G41"/>
    </sheetView>
  </sheetViews>
  <sheetFormatPr baseColWidth="10" defaultColWidth="8.83203125" defaultRowHeight="15"/>
  <cols>
    <col min="1" max="1" width="15" customWidth="1"/>
    <col min="2" max="4" width="24" customWidth="1"/>
    <col min="5" max="5" width="32" customWidth="1"/>
    <col min="6" max="7" width="26" customWidth="1"/>
    <col min="8" max="8" width="20" customWidth="1"/>
    <col min="9" max="9" width="25" customWidth="1"/>
    <col min="10" max="10" width="18" customWidth="1"/>
    <col min="11" max="11" width="41" customWidth="1"/>
    <col min="12" max="12" width="18" customWidth="1"/>
  </cols>
  <sheetData>
    <row r="1" spans="1:12" ht="25" customHeight="1">
      <c r="A1" s="15" t="s">
        <v>282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9" customHeight="1">
      <c r="A2" s="14" t="s">
        <v>253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8" customHeight="1">
      <c r="A3" s="13" t="s">
        <v>281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8" customHeight="1">
      <c r="A4" s="12" t="s">
        <v>280</v>
      </c>
    </row>
    <row r="5" spans="1:12" ht="16" customHeight="1">
      <c r="A5" s="11" t="s">
        <v>120</v>
      </c>
      <c r="B5" s="9"/>
      <c r="C5" s="9"/>
      <c r="D5" s="9"/>
      <c r="E5" s="9"/>
      <c r="F5" s="9"/>
      <c r="G5" s="10" t="s">
        <v>119</v>
      </c>
      <c r="H5" s="9"/>
      <c r="I5" s="9"/>
      <c r="J5" s="9"/>
      <c r="K5" s="9"/>
      <c r="L5" s="9"/>
    </row>
    <row r="6" spans="1:12" ht="22" customHeight="1" thickBot="1">
      <c r="A6" s="8" t="s">
        <v>118</v>
      </c>
      <c r="B6" s="8" t="s">
        <v>117</v>
      </c>
      <c r="C6" s="8"/>
      <c r="D6" s="8"/>
      <c r="E6" s="8" t="s">
        <v>250</v>
      </c>
      <c r="F6" s="8" t="s">
        <v>115</v>
      </c>
      <c r="G6" s="8" t="s">
        <v>114</v>
      </c>
      <c r="H6" s="8" t="s">
        <v>113</v>
      </c>
      <c r="I6" s="8" t="s">
        <v>112</v>
      </c>
      <c r="J6" s="8" t="s">
        <v>111</v>
      </c>
      <c r="K6" s="8" t="s">
        <v>110</v>
      </c>
      <c r="L6" s="8" t="s">
        <v>109</v>
      </c>
    </row>
    <row r="7" spans="1:12" ht="19" customHeight="1">
      <c r="A7" s="5">
        <v>1</v>
      </c>
      <c r="B7" s="5" t="s">
        <v>249</v>
      </c>
      <c r="C7" s="5" t="s">
        <v>162</v>
      </c>
      <c r="D7" s="5" t="s">
        <v>59</v>
      </c>
      <c r="E7" s="5" t="str">
        <f>C7&amp;"-"&amp;D7&amp;"(11)"</f>
        <v>P4-TBSI6-M1(11)</v>
      </c>
      <c r="F7" s="4" t="str">
        <f>$A$4&amp;"-"&amp;A7&amp;"/"&amp;E7</f>
        <v>C1S6-1/P4-TBSI6-M1(11)</v>
      </c>
      <c r="G7" s="4" t="str">
        <f>E7&amp;"/"&amp;$A$4&amp;"-"&amp;A7</f>
        <v>P4-TBSI6-M1(11)/C1S6-1</v>
      </c>
      <c r="H7" s="5" t="s">
        <v>125</v>
      </c>
      <c r="I7" s="4" t="s">
        <v>279</v>
      </c>
      <c r="J7" s="5" t="s">
        <v>278</v>
      </c>
      <c r="K7" s="4" t="s">
        <v>270</v>
      </c>
      <c r="L7" s="7" t="s">
        <v>31</v>
      </c>
    </row>
    <row r="8" spans="1:12" ht="19" customHeight="1">
      <c r="A8" s="3">
        <v>2</v>
      </c>
      <c r="B8" s="3" t="s">
        <v>108</v>
      </c>
      <c r="C8" s="5" t="s">
        <v>162</v>
      </c>
      <c r="D8" s="5" t="str">
        <f>D7</f>
        <v>M1</v>
      </c>
      <c r="E8" s="5" t="str">
        <f>C8&amp;"-"&amp;D8&amp;"(14)"</f>
        <v>P4-TBSI6-M1(14)</v>
      </c>
      <c r="F8" s="4" t="str">
        <f>$A$4&amp;"-"&amp;A8&amp;"/"&amp;E8</f>
        <v>C1S6-2/P4-TBSI6-M1(14)</v>
      </c>
      <c r="G8" s="4" t="str">
        <f>E8&amp;"/"&amp;$A$4&amp;"-"&amp;A8</f>
        <v>P4-TBSI6-M1(14)/C1S6-2</v>
      </c>
      <c r="H8" s="3" t="s">
        <v>125</v>
      </c>
      <c r="I8" s="2" t="s">
        <v>279</v>
      </c>
      <c r="J8" s="3" t="s">
        <v>278</v>
      </c>
      <c r="K8" s="2" t="s">
        <v>270</v>
      </c>
      <c r="L8" s="7" t="s">
        <v>31</v>
      </c>
    </row>
    <row r="9" spans="1:12" ht="19" customHeight="1">
      <c r="A9" s="5">
        <v>3</v>
      </c>
      <c r="B9" s="5" t="s">
        <v>246</v>
      </c>
      <c r="C9" s="5" t="s">
        <v>162</v>
      </c>
      <c r="D9" s="5" t="s">
        <v>55</v>
      </c>
      <c r="E9" s="5" t="str">
        <f>C9&amp;"-"&amp;D9&amp;"(11)"</f>
        <v>P4-TBSI6-M2(11)</v>
      </c>
      <c r="F9" s="4" t="str">
        <f>$A$4&amp;"-"&amp;A9&amp;"/"&amp;E9</f>
        <v>C1S6-3/P4-TBSI6-M2(11)</v>
      </c>
      <c r="G9" s="4" t="str">
        <f>E9&amp;"/"&amp;$A$4&amp;"-"&amp;A9</f>
        <v>P4-TBSI6-M2(11)/C1S6-3</v>
      </c>
      <c r="H9" s="5" t="s">
        <v>125</v>
      </c>
      <c r="I9" s="4" t="s">
        <v>277</v>
      </c>
      <c r="J9" s="5" t="s">
        <v>276</v>
      </c>
      <c r="K9" s="4" t="s">
        <v>275</v>
      </c>
      <c r="L9" s="7" t="s">
        <v>31</v>
      </c>
    </row>
    <row r="10" spans="1:12" ht="19" customHeight="1">
      <c r="A10" s="3">
        <v>4</v>
      </c>
      <c r="B10" s="3" t="s">
        <v>105</v>
      </c>
      <c r="C10" s="5" t="s">
        <v>162</v>
      </c>
      <c r="D10" s="5" t="str">
        <f>D9</f>
        <v>M2</v>
      </c>
      <c r="E10" s="5" t="str">
        <f>C10&amp;"-"&amp;D10&amp;"(14)"</f>
        <v>P4-TBSI6-M2(14)</v>
      </c>
      <c r="F10" s="4" t="str">
        <f>$A$4&amp;"-"&amp;A10&amp;"/"&amp;E10</f>
        <v>C1S6-4/P4-TBSI6-M2(14)</v>
      </c>
      <c r="G10" s="4" t="str">
        <f>E10&amp;"/"&amp;$A$4&amp;"-"&amp;A10</f>
        <v>P4-TBSI6-M2(14)/C1S6-4</v>
      </c>
      <c r="H10" s="3" t="s">
        <v>125</v>
      </c>
      <c r="I10" s="2" t="s">
        <v>277</v>
      </c>
      <c r="J10" s="3" t="s">
        <v>276</v>
      </c>
      <c r="K10" s="2" t="s">
        <v>275</v>
      </c>
      <c r="L10" s="7" t="s">
        <v>31</v>
      </c>
    </row>
    <row r="11" spans="1:12" ht="19" customHeight="1">
      <c r="A11" s="5">
        <v>5</v>
      </c>
      <c r="B11" s="5" t="s">
        <v>243</v>
      </c>
      <c r="C11" s="5" t="s">
        <v>162</v>
      </c>
      <c r="D11" s="5" t="s">
        <v>55</v>
      </c>
      <c r="E11" s="5" t="str">
        <f>C11&amp;"-"&amp;D11&amp;"(11)"</f>
        <v>P4-TBSI6-M2(11)</v>
      </c>
      <c r="F11" s="4" t="str">
        <f>$A$4&amp;"-"&amp;A11&amp;"/"&amp;E11</f>
        <v>C1S6-5/P4-TBSI6-M2(11)</v>
      </c>
      <c r="G11" s="4" t="str">
        <f>E11&amp;"/"&amp;$A$4&amp;"-"&amp;A11</f>
        <v>P4-TBSI6-M2(11)/C1S6-5</v>
      </c>
      <c r="H11" s="5" t="s">
        <v>126</v>
      </c>
      <c r="I11" s="4" t="s">
        <v>203</v>
      </c>
      <c r="J11" s="5" t="s">
        <v>9</v>
      </c>
      <c r="K11" s="4" t="s">
        <v>8</v>
      </c>
      <c r="L11" s="6" t="s">
        <v>7</v>
      </c>
    </row>
    <row r="12" spans="1:12" ht="19" customHeight="1">
      <c r="A12" s="3">
        <v>6</v>
      </c>
      <c r="B12" s="3" t="s">
        <v>102</v>
      </c>
      <c r="C12" s="5" t="s">
        <v>162</v>
      </c>
      <c r="D12" s="5" t="str">
        <f>D11</f>
        <v>M2</v>
      </c>
      <c r="E12" s="5" t="str">
        <f>C12&amp;"-"&amp;D12&amp;"(14)"</f>
        <v>P4-TBSI6-M2(14)</v>
      </c>
      <c r="F12" s="4" t="str">
        <f>$A$4&amp;"-"&amp;A12&amp;"/"&amp;E12</f>
        <v>C1S6-6/P4-TBSI6-M2(14)</v>
      </c>
      <c r="G12" s="4" t="str">
        <f>E12&amp;"/"&amp;$A$4&amp;"-"&amp;A12</f>
        <v>P4-TBSI6-M2(14)/C1S6-6</v>
      </c>
      <c r="H12" s="3" t="s">
        <v>126</v>
      </c>
      <c r="I12" s="2" t="s">
        <v>203</v>
      </c>
      <c r="J12" s="3" t="s">
        <v>9</v>
      </c>
      <c r="K12" s="2" t="s">
        <v>8</v>
      </c>
      <c r="L12" s="6" t="s">
        <v>7</v>
      </c>
    </row>
    <row r="13" spans="1:12" ht="19" customHeight="1">
      <c r="A13" s="5">
        <v>7</v>
      </c>
      <c r="B13" s="5" t="s">
        <v>240</v>
      </c>
      <c r="C13" s="5" t="s">
        <v>162</v>
      </c>
      <c r="D13" s="5" t="s">
        <v>51</v>
      </c>
      <c r="E13" s="5" t="str">
        <f>C13&amp;"-"&amp;D13&amp;"(11)"</f>
        <v>P4-TBSI6-M3(11)</v>
      </c>
      <c r="F13" s="4" t="str">
        <f>$A$4&amp;"-"&amp;A13&amp;"/"&amp;E13</f>
        <v>C1S6-7/P4-TBSI6-M3(11)</v>
      </c>
      <c r="G13" s="4" t="str">
        <f>E13&amp;"/"&amp;$A$4&amp;"-"&amp;A13</f>
        <v>P4-TBSI6-M3(11)/C1S6-7</v>
      </c>
      <c r="H13" s="5" t="s">
        <v>126</v>
      </c>
      <c r="I13" s="4" t="s">
        <v>203</v>
      </c>
      <c r="J13" s="5" t="s">
        <v>9</v>
      </c>
      <c r="K13" s="4" t="s">
        <v>8</v>
      </c>
      <c r="L13" s="6" t="s">
        <v>7</v>
      </c>
    </row>
    <row r="14" spans="1:12" ht="19" customHeight="1">
      <c r="A14" s="3">
        <v>8</v>
      </c>
      <c r="B14" s="3" t="s">
        <v>99</v>
      </c>
      <c r="C14" s="5" t="s">
        <v>162</v>
      </c>
      <c r="D14" s="5" t="str">
        <f>D13</f>
        <v>M3</v>
      </c>
      <c r="E14" s="5" t="str">
        <f>C14&amp;"-"&amp;D14&amp;"(14)"</f>
        <v>P4-TBSI6-M3(14)</v>
      </c>
      <c r="F14" s="4" t="str">
        <f>$A$4&amp;"-"&amp;A14&amp;"/"&amp;E14</f>
        <v>C1S6-8/P4-TBSI6-M3(14)</v>
      </c>
      <c r="G14" s="4" t="str">
        <f>E14&amp;"/"&amp;$A$4&amp;"-"&amp;A14</f>
        <v>P4-TBSI6-M3(14)/C1S6-8</v>
      </c>
      <c r="H14" s="3" t="s">
        <v>126</v>
      </c>
      <c r="I14" s="2" t="s">
        <v>203</v>
      </c>
      <c r="J14" s="3" t="s">
        <v>9</v>
      </c>
      <c r="K14" s="2" t="s">
        <v>8</v>
      </c>
      <c r="L14" s="6" t="s">
        <v>7</v>
      </c>
    </row>
    <row r="15" spans="1:12" ht="19" customHeight="1">
      <c r="A15" s="5">
        <v>9</v>
      </c>
      <c r="B15" s="5" t="s">
        <v>214</v>
      </c>
      <c r="C15" s="5" t="s">
        <v>162</v>
      </c>
      <c r="D15" s="5"/>
      <c r="E15" s="5" t="str">
        <f>C15&amp;"-"&amp;D15&amp;"(11)"</f>
        <v>P4-TBSI6-(11)</v>
      </c>
      <c r="F15" s="4" t="str">
        <f>$A$4&amp;"-"&amp;A15&amp;"/"&amp;E15</f>
        <v>C1S6-9/P4-TBSI6-(11)</v>
      </c>
      <c r="G15" s="4" t="str">
        <f>E15&amp;"/"&amp;$A$4&amp;"-"&amp;A15</f>
        <v>P4-TBSI6-(11)/C1S6-9</v>
      </c>
      <c r="H15" s="5" t="s">
        <v>125</v>
      </c>
      <c r="I15" s="4" t="s">
        <v>3</v>
      </c>
      <c r="J15" s="5" t="s">
        <v>2</v>
      </c>
      <c r="K15" s="4" t="s">
        <v>1</v>
      </c>
      <c r="L15" s="1" t="s">
        <v>0</v>
      </c>
    </row>
    <row r="16" spans="1:12" ht="19" customHeight="1">
      <c r="A16" s="3">
        <v>10</v>
      </c>
      <c r="B16" s="3" t="s">
        <v>214</v>
      </c>
      <c r="C16" s="5" t="s">
        <v>162</v>
      </c>
      <c r="D16" s="5"/>
      <c r="E16" s="5" t="str">
        <f>C16&amp;"-"&amp;D16&amp;"(14)"</f>
        <v>P4-TBSI6-(14)</v>
      </c>
      <c r="F16" s="4" t="str">
        <f>$A$4&amp;"-"&amp;A16&amp;"/"&amp;E16</f>
        <v>C1S6-10/P4-TBSI6-(14)</v>
      </c>
      <c r="G16" s="4" t="str">
        <f>E16&amp;"/"&amp;$A$4&amp;"-"&amp;A16</f>
        <v>P4-TBSI6-(14)/C1S6-10</v>
      </c>
      <c r="H16" s="3" t="s">
        <v>125</v>
      </c>
      <c r="I16" s="2" t="s">
        <v>3</v>
      </c>
      <c r="J16" s="3" t="s">
        <v>2</v>
      </c>
      <c r="K16" s="2" t="s">
        <v>1</v>
      </c>
      <c r="L16" s="1" t="s">
        <v>0</v>
      </c>
    </row>
    <row r="17" spans="1:12" ht="19" customHeight="1">
      <c r="A17" s="5">
        <v>11</v>
      </c>
      <c r="B17" s="5" t="s">
        <v>237</v>
      </c>
      <c r="C17" s="5" t="s">
        <v>162</v>
      </c>
      <c r="D17" s="5" t="s">
        <v>43</v>
      </c>
      <c r="E17" s="5" t="str">
        <f>C17&amp;"-"&amp;D17&amp;"(11)"</f>
        <v>P4-TBSI6-M5(11)</v>
      </c>
      <c r="F17" s="4" t="str">
        <f>$A$4&amp;"-"&amp;A17&amp;"/"&amp;E17</f>
        <v>C1S6-11/P4-TBSI6-M5(11)</v>
      </c>
      <c r="G17" s="4" t="str">
        <f>E17&amp;"/"&amp;$A$4&amp;"-"&amp;A17</f>
        <v>P4-TBSI6-M5(11)/C1S6-11</v>
      </c>
      <c r="H17" s="5" t="s">
        <v>126</v>
      </c>
      <c r="I17" s="4" t="s">
        <v>274</v>
      </c>
      <c r="J17" s="5" t="s">
        <v>273</v>
      </c>
      <c r="K17" s="4" t="s">
        <v>270</v>
      </c>
      <c r="L17" s="7" t="s">
        <v>31</v>
      </c>
    </row>
    <row r="18" spans="1:12" ht="19" customHeight="1">
      <c r="A18" s="3">
        <v>12</v>
      </c>
      <c r="B18" s="3" t="s">
        <v>96</v>
      </c>
      <c r="C18" s="5" t="s">
        <v>162</v>
      </c>
      <c r="D18" s="5" t="str">
        <f>D17</f>
        <v>M5</v>
      </c>
      <c r="E18" s="5" t="str">
        <f>C18&amp;"-"&amp;D18&amp;"(14)"</f>
        <v>P4-TBSI6-M5(14)</v>
      </c>
      <c r="F18" s="4" t="str">
        <f>$A$4&amp;"-"&amp;A18&amp;"/"&amp;E18</f>
        <v>C1S6-12/P4-TBSI6-M5(14)</v>
      </c>
      <c r="G18" s="4" t="str">
        <f>E18&amp;"/"&amp;$A$4&amp;"-"&amp;A18</f>
        <v>P4-TBSI6-M5(14)/C1S6-12</v>
      </c>
      <c r="H18" s="3" t="s">
        <v>126</v>
      </c>
      <c r="I18" s="2" t="s">
        <v>274</v>
      </c>
      <c r="J18" s="3" t="s">
        <v>273</v>
      </c>
      <c r="K18" s="2" t="s">
        <v>270</v>
      </c>
      <c r="L18" s="7" t="s">
        <v>31</v>
      </c>
    </row>
    <row r="19" spans="1:12" ht="19" customHeight="1">
      <c r="A19" s="5">
        <v>13</v>
      </c>
      <c r="B19" s="5" t="s">
        <v>234</v>
      </c>
      <c r="C19" s="5" t="s">
        <v>162</v>
      </c>
      <c r="D19" s="5" t="s">
        <v>39</v>
      </c>
      <c r="E19" s="5" t="str">
        <f>C19&amp;"-"&amp;D19&amp;"(11)"</f>
        <v>P4-TBSI6-M6(11)</v>
      </c>
      <c r="F19" s="4" t="str">
        <f>$A$4&amp;"-"&amp;A19&amp;"/"&amp;E19</f>
        <v>C1S6-13/P4-TBSI6-M6(11)</v>
      </c>
      <c r="G19" s="4" t="str">
        <f>E19&amp;"/"&amp;$A$4&amp;"-"&amp;A19</f>
        <v>P4-TBSI6-M6(11)/C1S6-13</v>
      </c>
      <c r="H19" s="5" t="s">
        <v>126</v>
      </c>
      <c r="I19" s="4" t="s">
        <v>272</v>
      </c>
      <c r="J19" s="5" t="s">
        <v>271</v>
      </c>
      <c r="K19" s="4" t="s">
        <v>270</v>
      </c>
      <c r="L19" s="7" t="s">
        <v>31</v>
      </c>
    </row>
    <row r="20" spans="1:12" ht="19" customHeight="1">
      <c r="A20" s="3">
        <v>14</v>
      </c>
      <c r="B20" s="3" t="s">
        <v>93</v>
      </c>
      <c r="C20" s="5" t="s">
        <v>162</v>
      </c>
      <c r="D20" s="5" t="str">
        <f>D19</f>
        <v>M6</v>
      </c>
      <c r="E20" s="5" t="str">
        <f>C20&amp;"-"&amp;D20&amp;"(14)"</f>
        <v>P4-TBSI6-M6(14)</v>
      </c>
      <c r="F20" s="4" t="str">
        <f>$A$4&amp;"-"&amp;A20&amp;"/"&amp;E20</f>
        <v>C1S6-14/P4-TBSI6-M6(14)</v>
      </c>
      <c r="G20" s="4" t="str">
        <f>E20&amp;"/"&amp;$A$4&amp;"-"&amp;A20</f>
        <v>P4-TBSI6-M6(14)/C1S6-14</v>
      </c>
      <c r="H20" s="3" t="s">
        <v>126</v>
      </c>
      <c r="I20" s="2" t="s">
        <v>272</v>
      </c>
      <c r="J20" s="3" t="s">
        <v>271</v>
      </c>
      <c r="K20" s="2" t="s">
        <v>270</v>
      </c>
      <c r="L20" s="7" t="s">
        <v>31</v>
      </c>
    </row>
    <row r="21" spans="1:12" ht="19" customHeight="1">
      <c r="A21" s="5">
        <v>15</v>
      </c>
      <c r="B21" s="5" t="s">
        <v>231</v>
      </c>
      <c r="C21" s="5" t="s">
        <v>162</v>
      </c>
      <c r="D21" s="5" t="s">
        <v>35</v>
      </c>
      <c r="E21" s="5" t="str">
        <f>C21&amp;"-"&amp;D21&amp;"(11)"</f>
        <v>P4-TBSI6-M7(11)</v>
      </c>
      <c r="F21" s="4" t="str">
        <f>$A$4&amp;"-"&amp;A21&amp;"/"&amp;E21</f>
        <v>C1S6-15/P4-TBSI6-M7(11)</v>
      </c>
      <c r="G21" s="4" t="str">
        <f>E21&amp;"/"&amp;$A$4&amp;"-"&amp;A21</f>
        <v>P4-TBSI6-M7(11)/C1S6-15</v>
      </c>
      <c r="H21" s="5" t="s">
        <v>126</v>
      </c>
      <c r="I21" s="4" t="s">
        <v>269</v>
      </c>
      <c r="J21" s="5" t="s">
        <v>268</v>
      </c>
      <c r="K21" s="4" t="s">
        <v>267</v>
      </c>
      <c r="L21" s="7" t="s">
        <v>31</v>
      </c>
    </row>
    <row r="22" spans="1:12" ht="19" customHeight="1">
      <c r="A22" s="3">
        <v>16</v>
      </c>
      <c r="B22" s="3" t="s">
        <v>90</v>
      </c>
      <c r="C22" s="5" t="s">
        <v>162</v>
      </c>
      <c r="D22" s="5" t="str">
        <f>D21</f>
        <v>M7</v>
      </c>
      <c r="E22" s="5" t="str">
        <f>C22&amp;"-"&amp;D22&amp;"(14)"</f>
        <v>P4-TBSI6-M7(14)</v>
      </c>
      <c r="F22" s="4" t="str">
        <f>$A$4&amp;"-"&amp;A22&amp;"/"&amp;E22</f>
        <v>C1S6-16/P4-TBSI6-M7(14)</v>
      </c>
      <c r="G22" s="4" t="str">
        <f>E22&amp;"/"&amp;$A$4&amp;"-"&amp;A22</f>
        <v>P4-TBSI6-M7(14)/C1S6-16</v>
      </c>
      <c r="H22" s="3" t="s">
        <v>126</v>
      </c>
      <c r="I22" s="2" t="s">
        <v>269</v>
      </c>
      <c r="J22" s="3" t="s">
        <v>268</v>
      </c>
      <c r="K22" s="2" t="s">
        <v>267</v>
      </c>
      <c r="L22" s="7" t="s">
        <v>31</v>
      </c>
    </row>
    <row r="23" spans="1:12" ht="19" customHeight="1">
      <c r="A23" s="5">
        <v>17</v>
      </c>
      <c r="B23" s="5" t="s">
        <v>228</v>
      </c>
      <c r="C23" s="5" t="s">
        <v>162</v>
      </c>
      <c r="D23" s="5" t="s">
        <v>29</v>
      </c>
      <c r="E23" s="5" t="str">
        <f>C23&amp;"-"&amp;D23&amp;"(11)"</f>
        <v>P4-TBSI6-M8(11)</v>
      </c>
      <c r="F23" s="4" t="str">
        <f>$A$4&amp;"-"&amp;A23&amp;"/"&amp;E23</f>
        <v>C1S6-17/P4-TBSI6-M8(11)</v>
      </c>
      <c r="G23" s="4" t="str">
        <f>E23&amp;"/"&amp;$A$4&amp;"-"&amp;A23</f>
        <v>P4-TBSI6-M8(11)/C1S6-17</v>
      </c>
      <c r="H23" s="5" t="s">
        <v>126</v>
      </c>
      <c r="I23" s="4" t="s">
        <v>266</v>
      </c>
      <c r="J23" s="5" t="s">
        <v>265</v>
      </c>
      <c r="K23" s="4" t="s">
        <v>224</v>
      </c>
      <c r="L23" s="7" t="s">
        <v>31</v>
      </c>
    </row>
    <row r="24" spans="1:12" ht="19" customHeight="1">
      <c r="A24" s="3">
        <v>18</v>
      </c>
      <c r="B24" s="3" t="s">
        <v>87</v>
      </c>
      <c r="C24" s="5" t="s">
        <v>162</v>
      </c>
      <c r="D24" s="5" t="str">
        <f>D23</f>
        <v>M8</v>
      </c>
      <c r="E24" s="5" t="str">
        <f>C24&amp;"-"&amp;D24&amp;"(14)"</f>
        <v>P4-TBSI6-M8(14)</v>
      </c>
      <c r="F24" s="4" t="str">
        <f>$A$4&amp;"-"&amp;A24&amp;"/"&amp;E24</f>
        <v>C1S6-18/P4-TBSI6-M8(14)</v>
      </c>
      <c r="G24" s="4" t="str">
        <f>E24&amp;"/"&amp;$A$4&amp;"-"&amp;A24</f>
        <v>P4-TBSI6-M8(14)/C1S6-18</v>
      </c>
      <c r="H24" s="3" t="s">
        <v>126</v>
      </c>
      <c r="I24" s="2" t="s">
        <v>266</v>
      </c>
      <c r="J24" s="3" t="s">
        <v>265</v>
      </c>
      <c r="K24" s="2" t="s">
        <v>224</v>
      </c>
      <c r="L24" s="7" t="s">
        <v>31</v>
      </c>
    </row>
    <row r="25" spans="1:12" ht="19" customHeight="1">
      <c r="A25" s="5">
        <v>19</v>
      </c>
      <c r="B25" s="5" t="s">
        <v>227</v>
      </c>
      <c r="C25" s="5" t="s">
        <v>162</v>
      </c>
      <c r="D25" s="5" t="s">
        <v>27</v>
      </c>
      <c r="E25" s="5" t="str">
        <f>C25&amp;"-"&amp;D25&amp;"(11)"</f>
        <v>P4-TBSI6-M9(11)</v>
      </c>
      <c r="F25" s="4" t="str">
        <f>$A$4&amp;"-"&amp;A25&amp;"/"&amp;E25</f>
        <v>C1S6-19/P4-TBSI6-M9(11)</v>
      </c>
      <c r="G25" s="4" t="str">
        <f>E25&amp;"/"&amp;$A$4&amp;"-"&amp;A25</f>
        <v>P4-TBSI6-M9(11)/C1S6-19</v>
      </c>
      <c r="H25" s="5" t="s">
        <v>126</v>
      </c>
      <c r="I25" s="4" t="s">
        <v>264</v>
      </c>
      <c r="J25" s="5" t="s">
        <v>263</v>
      </c>
      <c r="K25" s="4" t="s">
        <v>224</v>
      </c>
      <c r="L25" s="7" t="s">
        <v>31</v>
      </c>
    </row>
    <row r="26" spans="1:12" ht="19" customHeight="1">
      <c r="A26" s="3">
        <v>20</v>
      </c>
      <c r="B26" s="3" t="s">
        <v>84</v>
      </c>
      <c r="C26" s="5" t="s">
        <v>162</v>
      </c>
      <c r="D26" s="5" t="str">
        <f>D25</f>
        <v>M9</v>
      </c>
      <c r="E26" s="5" t="str">
        <f>C26&amp;"-"&amp;D26&amp;"(14)"</f>
        <v>P4-TBSI6-M9(14)</v>
      </c>
      <c r="F26" s="4" t="str">
        <f>$A$4&amp;"-"&amp;A26&amp;"/"&amp;E26</f>
        <v>C1S6-20/P4-TBSI6-M9(14)</v>
      </c>
      <c r="G26" s="4" t="str">
        <f>E26&amp;"/"&amp;$A$4&amp;"-"&amp;A26</f>
        <v>P4-TBSI6-M9(14)/C1S6-20</v>
      </c>
      <c r="H26" s="3" t="s">
        <v>126</v>
      </c>
      <c r="I26" s="2" t="s">
        <v>264</v>
      </c>
      <c r="J26" s="3" t="s">
        <v>263</v>
      </c>
      <c r="K26" s="2" t="s">
        <v>224</v>
      </c>
      <c r="L26" s="7" t="s">
        <v>31</v>
      </c>
    </row>
    <row r="27" spans="1:12" ht="19" customHeight="1">
      <c r="A27" s="5">
        <v>21</v>
      </c>
      <c r="B27" s="5" t="s">
        <v>223</v>
      </c>
      <c r="C27" s="5" t="s">
        <v>162</v>
      </c>
      <c r="D27" s="5" t="s">
        <v>25</v>
      </c>
      <c r="E27" s="5" t="str">
        <f>C27&amp;"-"&amp;D27&amp;"(11)"</f>
        <v>P4-TBSI6-M10(11)</v>
      </c>
      <c r="F27" s="4" t="str">
        <f>$A$4&amp;"-"&amp;A27&amp;"/"&amp;E27</f>
        <v>C1S6-21/P4-TBSI6-M10(11)</v>
      </c>
      <c r="G27" s="4" t="str">
        <f>E27&amp;"/"&amp;$A$4&amp;"-"&amp;A27</f>
        <v>P4-TBSI6-M10(11)/C1S6-21</v>
      </c>
      <c r="H27" s="5" t="s">
        <v>126</v>
      </c>
      <c r="I27" s="4" t="s">
        <v>262</v>
      </c>
      <c r="J27" s="5" t="s">
        <v>261</v>
      </c>
      <c r="K27" s="4" t="s">
        <v>224</v>
      </c>
      <c r="L27" s="7" t="s">
        <v>31</v>
      </c>
    </row>
    <row r="28" spans="1:12" ht="19" customHeight="1">
      <c r="A28" s="3">
        <v>22</v>
      </c>
      <c r="B28" s="3" t="s">
        <v>81</v>
      </c>
      <c r="C28" s="5" t="s">
        <v>162</v>
      </c>
      <c r="D28" s="5" t="str">
        <f>D27</f>
        <v>M10</v>
      </c>
      <c r="E28" s="5" t="str">
        <f>C28&amp;"-"&amp;D28&amp;"(14)"</f>
        <v>P4-TBSI6-M10(14)</v>
      </c>
      <c r="F28" s="4" t="str">
        <f>$A$4&amp;"-"&amp;A28&amp;"/"&amp;E28</f>
        <v>C1S6-22/P4-TBSI6-M10(14)</v>
      </c>
      <c r="G28" s="4" t="str">
        <f>E28&amp;"/"&amp;$A$4&amp;"-"&amp;A28</f>
        <v>P4-TBSI6-M10(14)/C1S6-22</v>
      </c>
      <c r="H28" s="3" t="s">
        <v>126</v>
      </c>
      <c r="I28" s="2" t="s">
        <v>262</v>
      </c>
      <c r="J28" s="3" t="s">
        <v>261</v>
      </c>
      <c r="K28" s="2" t="s">
        <v>224</v>
      </c>
      <c r="L28" s="7" t="s">
        <v>31</v>
      </c>
    </row>
    <row r="29" spans="1:12" ht="19" customHeight="1">
      <c r="A29" s="5">
        <v>23</v>
      </c>
      <c r="B29" s="5" t="s">
        <v>220</v>
      </c>
      <c r="C29" s="5" t="s">
        <v>162</v>
      </c>
      <c r="D29" s="5" t="s">
        <v>23</v>
      </c>
      <c r="E29" s="5" t="str">
        <f>C29&amp;"-"&amp;D29&amp;"(11)"</f>
        <v>P4-TBSI6-M11(11)</v>
      </c>
      <c r="F29" s="4" t="str">
        <f>$A$4&amp;"-"&amp;A29&amp;"/"&amp;E29</f>
        <v>C1S6-23/P4-TBSI6-M11(11)</v>
      </c>
      <c r="G29" s="4" t="str">
        <f>E29&amp;"/"&amp;$A$4&amp;"-"&amp;A29</f>
        <v>P4-TBSI6-M11(11)/C1S6-23</v>
      </c>
      <c r="H29" s="5" t="s">
        <v>126</v>
      </c>
      <c r="I29" s="4" t="s">
        <v>260</v>
      </c>
      <c r="J29" s="5" t="s">
        <v>259</v>
      </c>
      <c r="K29" s="4" t="s">
        <v>224</v>
      </c>
      <c r="L29" s="7" t="s">
        <v>31</v>
      </c>
    </row>
    <row r="30" spans="1:12" ht="19" customHeight="1">
      <c r="A30" s="3">
        <v>24</v>
      </c>
      <c r="B30" s="3" t="s">
        <v>78</v>
      </c>
      <c r="C30" s="5" t="s">
        <v>162</v>
      </c>
      <c r="D30" s="5" t="str">
        <f>D29</f>
        <v>M11</v>
      </c>
      <c r="E30" s="5" t="str">
        <f>C30&amp;"-"&amp;D30&amp;"(14)"</f>
        <v>P4-TBSI6-M11(14)</v>
      </c>
      <c r="F30" s="4" t="str">
        <f>$A$4&amp;"-"&amp;A30&amp;"/"&amp;E30</f>
        <v>C1S6-24/P4-TBSI6-M11(14)</v>
      </c>
      <c r="G30" s="4" t="str">
        <f>E30&amp;"/"&amp;$A$4&amp;"-"&amp;A30</f>
        <v>P4-TBSI6-M11(14)/C1S6-24</v>
      </c>
      <c r="H30" s="3" t="s">
        <v>126</v>
      </c>
      <c r="I30" s="2" t="s">
        <v>260</v>
      </c>
      <c r="J30" s="3" t="s">
        <v>259</v>
      </c>
      <c r="K30" s="2" t="s">
        <v>224</v>
      </c>
      <c r="L30" s="7" t="s">
        <v>31</v>
      </c>
    </row>
    <row r="31" spans="1:12" ht="19" customHeight="1">
      <c r="A31" s="5">
        <v>25</v>
      </c>
      <c r="B31" s="5" t="s">
        <v>217</v>
      </c>
      <c r="C31" s="5" t="s">
        <v>162</v>
      </c>
      <c r="D31" s="5" t="s">
        <v>21</v>
      </c>
      <c r="E31" s="5" t="str">
        <f>C31&amp;"-"&amp;D31&amp;"(11)"</f>
        <v>P4-TBSI6-M12(11)</v>
      </c>
      <c r="F31" s="4" t="str">
        <f>$A$4&amp;"-"&amp;A31&amp;"/"&amp;E31</f>
        <v>C1S6-25/P4-TBSI6-M12(11)</v>
      </c>
      <c r="G31" s="4" t="str">
        <f>E31&amp;"/"&amp;$A$4&amp;"-"&amp;A31</f>
        <v>P4-TBSI6-M12(11)/C1S6-25</v>
      </c>
      <c r="H31" s="5" t="s">
        <v>126</v>
      </c>
      <c r="I31" s="4" t="s">
        <v>258</v>
      </c>
      <c r="J31" s="5" t="s">
        <v>257</v>
      </c>
      <c r="K31" s="4" t="s">
        <v>210</v>
      </c>
      <c r="L31" s="7" t="s">
        <v>31</v>
      </c>
    </row>
    <row r="32" spans="1:12" ht="19" customHeight="1">
      <c r="A32" s="3">
        <v>26</v>
      </c>
      <c r="B32" s="3" t="s">
        <v>75</v>
      </c>
      <c r="C32" s="5" t="s">
        <v>162</v>
      </c>
      <c r="D32" s="5" t="str">
        <f>D31</f>
        <v>M12</v>
      </c>
      <c r="E32" s="5" t="str">
        <f>C32&amp;"-"&amp;D32&amp;"(14)"</f>
        <v>P4-TBSI6-M12(14)</v>
      </c>
      <c r="F32" s="4" t="str">
        <f>$A$4&amp;"-"&amp;A32&amp;"/"&amp;E32</f>
        <v>C1S6-26/P4-TBSI6-M12(14)</v>
      </c>
      <c r="G32" s="4" t="str">
        <f>E32&amp;"/"&amp;$A$4&amp;"-"&amp;A32</f>
        <v>P4-TBSI6-M12(14)/C1S6-26</v>
      </c>
      <c r="H32" s="3" t="s">
        <v>126</v>
      </c>
      <c r="I32" s="2" t="s">
        <v>258</v>
      </c>
      <c r="J32" s="3" t="s">
        <v>257</v>
      </c>
      <c r="K32" s="2" t="s">
        <v>210</v>
      </c>
      <c r="L32" s="7" t="s">
        <v>31</v>
      </c>
    </row>
    <row r="33" spans="1:12" ht="19" customHeight="1">
      <c r="A33" s="5">
        <v>27</v>
      </c>
      <c r="B33" s="5" t="s">
        <v>214</v>
      </c>
      <c r="C33" s="5" t="s">
        <v>162</v>
      </c>
      <c r="D33" s="5"/>
      <c r="E33" s="5" t="str">
        <f>C33&amp;"-"&amp;D33&amp;"(11)"</f>
        <v>P4-TBSI6-(11)</v>
      </c>
      <c r="F33" s="4" t="str">
        <f>$A$4&amp;"-"&amp;A33&amp;"/"&amp;E33</f>
        <v>C1S6-27/P4-TBSI6-(11)</v>
      </c>
      <c r="G33" s="4" t="str">
        <f>E33&amp;"/"&amp;$A$4&amp;"-"&amp;A33</f>
        <v>P4-TBSI6-(11)/C1S6-27</v>
      </c>
      <c r="H33" s="5" t="s">
        <v>125</v>
      </c>
      <c r="I33" s="4" t="s">
        <v>3</v>
      </c>
      <c r="J33" s="5" t="s">
        <v>2</v>
      </c>
      <c r="K33" s="4" t="s">
        <v>1</v>
      </c>
      <c r="L33" s="1" t="s">
        <v>0</v>
      </c>
    </row>
    <row r="34" spans="1:12" ht="19" customHeight="1">
      <c r="A34" s="3">
        <v>28</v>
      </c>
      <c r="B34" s="3" t="s">
        <v>214</v>
      </c>
      <c r="C34" s="5" t="s">
        <v>162</v>
      </c>
      <c r="D34" s="5"/>
      <c r="E34" s="5" t="str">
        <f>C34&amp;"-"&amp;D34&amp;"(14)"</f>
        <v>P4-TBSI6-(14)</v>
      </c>
      <c r="F34" s="4" t="str">
        <f>$A$4&amp;"-"&amp;A34&amp;"/"&amp;E34</f>
        <v>C1S6-28/P4-TBSI6-(14)</v>
      </c>
      <c r="G34" s="4" t="str">
        <f>E34&amp;"/"&amp;$A$4&amp;"-"&amp;A34</f>
        <v>P4-TBSI6-(14)/C1S6-28</v>
      </c>
      <c r="H34" s="3" t="s">
        <v>125</v>
      </c>
      <c r="I34" s="2" t="s">
        <v>3</v>
      </c>
      <c r="J34" s="3" t="s">
        <v>2</v>
      </c>
      <c r="K34" s="2" t="s">
        <v>1</v>
      </c>
      <c r="L34" s="1" t="s">
        <v>0</v>
      </c>
    </row>
    <row r="35" spans="1:12" ht="19" customHeight="1">
      <c r="A35" s="5">
        <v>29</v>
      </c>
      <c r="B35" s="5" t="s">
        <v>213</v>
      </c>
      <c r="C35" s="5" t="s">
        <v>162</v>
      </c>
      <c r="D35" s="5" t="s">
        <v>19</v>
      </c>
      <c r="E35" s="5" t="str">
        <f>C35&amp;"-"&amp;D35&amp;"(11)"</f>
        <v>P4-TBSI6-M13(11)</v>
      </c>
      <c r="F35" s="4" t="str">
        <f>$A$4&amp;"-"&amp;A35&amp;"/"&amp;E35</f>
        <v>C1S6-29/P4-TBSI6-M13(11)</v>
      </c>
      <c r="G35" s="4" t="str">
        <f>E35&amp;"/"&amp;$A$4&amp;"-"&amp;A35</f>
        <v>P4-TBSI6-M13(11)/C1S6-29</v>
      </c>
      <c r="H35" s="5" t="s">
        <v>126</v>
      </c>
      <c r="I35" s="4" t="s">
        <v>256</v>
      </c>
      <c r="J35" s="5" t="s">
        <v>255</v>
      </c>
      <c r="K35" s="4" t="s">
        <v>210</v>
      </c>
      <c r="L35" s="7" t="s">
        <v>31</v>
      </c>
    </row>
    <row r="36" spans="1:12" ht="19" customHeight="1">
      <c r="A36" s="3">
        <v>30</v>
      </c>
      <c r="B36" s="3" t="s">
        <v>72</v>
      </c>
      <c r="C36" s="5" t="s">
        <v>162</v>
      </c>
      <c r="D36" s="5" t="str">
        <f>D35</f>
        <v>M13</v>
      </c>
      <c r="E36" s="5" t="str">
        <f>C36&amp;"-"&amp;D36&amp;"(14)"</f>
        <v>P4-TBSI6-M13(14)</v>
      </c>
      <c r="F36" s="4" t="str">
        <f>$A$4&amp;"-"&amp;A36&amp;"/"&amp;E36</f>
        <v>C1S6-30/P4-TBSI6-M13(14)</v>
      </c>
      <c r="G36" s="4" t="str">
        <f>E36&amp;"/"&amp;$A$4&amp;"-"&amp;A36</f>
        <v>P4-TBSI6-M13(14)/C1S6-30</v>
      </c>
      <c r="H36" s="3" t="s">
        <v>126</v>
      </c>
      <c r="I36" s="2" t="s">
        <v>256</v>
      </c>
      <c r="J36" s="3" t="s">
        <v>255</v>
      </c>
      <c r="K36" s="2" t="s">
        <v>210</v>
      </c>
      <c r="L36" s="7" t="s">
        <v>31</v>
      </c>
    </row>
    <row r="37" spans="1:12" ht="19" customHeight="1">
      <c r="A37" s="5">
        <v>31</v>
      </c>
      <c r="B37" s="5" t="s">
        <v>209</v>
      </c>
      <c r="C37" s="5" t="s">
        <v>162</v>
      </c>
      <c r="D37" s="5" t="s">
        <v>17</v>
      </c>
      <c r="E37" s="5" t="str">
        <f>C37&amp;"-"&amp;D37&amp;"(11)"</f>
        <v>P4-TBSI6-M14(11)</v>
      </c>
      <c r="F37" s="4" t="str">
        <f>$A$4&amp;"-"&amp;A37&amp;"/"&amp;E37</f>
        <v>C1S6-31/P4-TBSI6-M14(11)</v>
      </c>
      <c r="G37" s="4" t="str">
        <f>E37&amp;"/"&amp;$A$4&amp;"-"&amp;A37</f>
        <v>P4-TBSI6-M14(11)/C1S6-31</v>
      </c>
      <c r="H37" s="5" t="s">
        <v>126</v>
      </c>
      <c r="I37" s="4" t="s">
        <v>203</v>
      </c>
      <c r="J37" s="5" t="s">
        <v>9</v>
      </c>
      <c r="K37" s="4" t="s">
        <v>8</v>
      </c>
      <c r="L37" s="6" t="s">
        <v>7</v>
      </c>
    </row>
    <row r="38" spans="1:12" ht="19" customHeight="1">
      <c r="A38" s="3">
        <v>32</v>
      </c>
      <c r="B38" s="3" t="s">
        <v>69</v>
      </c>
      <c r="C38" s="5" t="s">
        <v>162</v>
      </c>
      <c r="D38" s="5" t="str">
        <f>D37</f>
        <v>M14</v>
      </c>
      <c r="E38" s="5" t="str">
        <f>C38&amp;"-"&amp;D38&amp;"(14)"</f>
        <v>P4-TBSI6-M14(14)</v>
      </c>
      <c r="F38" s="4" t="str">
        <f>$A$4&amp;"-"&amp;A38&amp;"/"&amp;E38</f>
        <v>C1S6-32/P4-TBSI6-M14(14)</v>
      </c>
      <c r="G38" s="4" t="str">
        <f>E38&amp;"/"&amp;$A$4&amp;"-"&amp;A38</f>
        <v>P4-TBSI6-M14(14)/C1S6-32</v>
      </c>
      <c r="H38" s="3" t="s">
        <v>126</v>
      </c>
      <c r="I38" s="2" t="s">
        <v>203</v>
      </c>
      <c r="J38" s="3" t="s">
        <v>9</v>
      </c>
      <c r="K38" s="2" t="s">
        <v>8</v>
      </c>
      <c r="L38" s="6" t="s">
        <v>7</v>
      </c>
    </row>
    <row r="39" spans="1:12" ht="19" customHeight="1">
      <c r="A39" s="5">
        <v>33</v>
      </c>
      <c r="B39" s="5" t="s">
        <v>205</v>
      </c>
      <c r="C39" s="5" t="s">
        <v>162</v>
      </c>
      <c r="D39" s="5" t="s">
        <v>15</v>
      </c>
      <c r="E39" s="5" t="str">
        <f>C39&amp;"-"&amp;D39&amp;"(11)"</f>
        <v>P4-TBSI6-M15(11)</v>
      </c>
      <c r="F39" s="4" t="str">
        <f>$A$4&amp;"-"&amp;A39&amp;"/"&amp;E39</f>
        <v>C1S6-33/P4-TBSI6-M15(11)</v>
      </c>
      <c r="G39" s="4" t="str">
        <f>E39&amp;"/"&amp;$A$4&amp;"-"&amp;A39</f>
        <v>P4-TBSI6-M15(11)/C1S6-33</v>
      </c>
      <c r="H39" s="5" t="s">
        <v>126</v>
      </c>
      <c r="I39" s="4" t="s">
        <v>203</v>
      </c>
      <c r="J39" s="5" t="s">
        <v>9</v>
      </c>
      <c r="K39" s="4" t="s">
        <v>8</v>
      </c>
      <c r="L39" s="6" t="s">
        <v>7</v>
      </c>
    </row>
    <row r="40" spans="1:12" ht="19" customHeight="1">
      <c r="A40" s="3">
        <v>34</v>
      </c>
      <c r="B40" s="3" t="s">
        <v>66</v>
      </c>
      <c r="C40" s="5" t="s">
        <v>162</v>
      </c>
      <c r="D40" s="5" t="str">
        <f>D39</f>
        <v>M15</v>
      </c>
      <c r="E40" s="5" t="str">
        <f>C40&amp;"-"&amp;D40&amp;"(14)"</f>
        <v>P4-TBSI6-M15(14)</v>
      </c>
      <c r="F40" s="4" t="str">
        <f>$A$4&amp;"-"&amp;A40&amp;"/"&amp;E40</f>
        <v>C1S6-34/P4-TBSI6-M15(14)</v>
      </c>
      <c r="G40" s="4" t="str">
        <f>E40&amp;"/"&amp;$A$4&amp;"-"&amp;A40</f>
        <v>P4-TBSI6-M15(14)/C1S6-34</v>
      </c>
      <c r="H40" s="3" t="s">
        <v>126</v>
      </c>
      <c r="I40" s="2" t="s">
        <v>203</v>
      </c>
      <c r="J40" s="3" t="s">
        <v>9</v>
      </c>
      <c r="K40" s="2" t="s">
        <v>8</v>
      </c>
      <c r="L40" s="6" t="s">
        <v>7</v>
      </c>
    </row>
    <row r="41" spans="1:12" ht="19" customHeight="1">
      <c r="A41" s="5">
        <v>35</v>
      </c>
      <c r="B41" s="5" t="s">
        <v>204</v>
      </c>
      <c r="C41" s="5" t="s">
        <v>162</v>
      </c>
      <c r="D41" s="5" t="s">
        <v>12</v>
      </c>
      <c r="E41" s="5" t="str">
        <f>C41&amp;"-"&amp;D41&amp;"(11)"</f>
        <v>P4-TBSI6-M16(11)</v>
      </c>
      <c r="F41" s="4" t="str">
        <f>$A$4&amp;"-"&amp;A41&amp;"/"&amp;E41</f>
        <v>C1S6-35/P4-TBSI6-M16(11)</v>
      </c>
      <c r="G41" s="4" t="str">
        <f>E41&amp;"/"&amp;$A$4&amp;"-"&amp;A41</f>
        <v>P4-TBSI6-M16(11)/C1S6-35</v>
      </c>
      <c r="H41" s="5" t="s">
        <v>126</v>
      </c>
      <c r="I41" s="4" t="s">
        <v>203</v>
      </c>
      <c r="J41" s="5" t="s">
        <v>9</v>
      </c>
      <c r="K41" s="4" t="s">
        <v>8</v>
      </c>
      <c r="L41" s="6" t="s">
        <v>7</v>
      </c>
    </row>
    <row r="42" spans="1:12" ht="19" customHeight="1">
      <c r="A42" s="3">
        <v>36</v>
      </c>
      <c r="B42" s="3" t="s">
        <v>63</v>
      </c>
      <c r="C42" s="5" t="s">
        <v>162</v>
      </c>
      <c r="D42" s="5" t="str">
        <f>D41</f>
        <v>M16</v>
      </c>
      <c r="E42" s="5" t="str">
        <f>C42&amp;"-"&amp;D42&amp;"(14)"</f>
        <v>P4-TBSI6-M16(14)</v>
      </c>
      <c r="F42" s="4" t="str">
        <f>$A$4&amp;"-"&amp;A42&amp;"/"&amp;E42</f>
        <v>C1S6-36/P4-TBSI6-M16(14)</v>
      </c>
      <c r="G42" s="4" t="str">
        <f>E42&amp;"/"&amp;$A$4&amp;"-"&amp;A42</f>
        <v>P4-TBSI6-M16(14)/C1S6-36</v>
      </c>
      <c r="H42" s="3" t="s">
        <v>126</v>
      </c>
      <c r="I42" s="2" t="s">
        <v>203</v>
      </c>
      <c r="J42" s="3" t="s">
        <v>9</v>
      </c>
      <c r="K42" s="2" t="s">
        <v>8</v>
      </c>
      <c r="L42" s="6" t="s">
        <v>7</v>
      </c>
    </row>
  </sheetData>
  <mergeCells count="5">
    <mergeCell ref="A1:L1"/>
    <mergeCell ref="A5:F5"/>
    <mergeCell ref="A3:L3"/>
    <mergeCell ref="A2:L2"/>
    <mergeCell ref="G5:L5"/>
  </mergeCells>
  <hyperlinks>
    <hyperlink ref="A5" location="'C4SlotConfig'!A1" display="← Back to Chassis Summary (C4SlotConfig)" xr:uid="{1FC33E18-5665-B344-9C58-94E9DA4A04A5}"/>
    <hyperlink ref="G5" location="'00_Slot_Index'!A1" display="← Back to Master Slot Directory (00_Slot_Index)" xr:uid="{D3F72751-7FB3-2C41-864E-FC4D0054F45D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72DA-C798-4B45-8126-62670EF68E8B}">
  <dimension ref="A1:O135"/>
  <sheetViews>
    <sheetView workbookViewId="0">
      <selection activeCell="B8" sqref="B8"/>
    </sheetView>
  </sheetViews>
  <sheetFormatPr baseColWidth="10" defaultColWidth="8.83203125" defaultRowHeight="15"/>
  <cols>
    <col min="1" max="1" width="15.1640625" bestFit="1" customWidth="1"/>
    <col min="2" max="2" width="15" customWidth="1"/>
    <col min="3" max="5" width="24" customWidth="1"/>
    <col min="6" max="6" width="14.6640625" customWidth="1"/>
    <col min="7" max="8" width="26" customWidth="1"/>
    <col min="9" max="9" width="22.1640625" bestFit="1" customWidth="1"/>
    <col min="10" max="10" width="18.33203125" bestFit="1" customWidth="1"/>
    <col min="11" max="11" width="12.33203125" bestFit="1" customWidth="1"/>
    <col min="12" max="12" width="18" customWidth="1"/>
    <col min="13" max="13" width="41" customWidth="1"/>
    <col min="14" max="14" width="18" customWidth="1"/>
  </cols>
  <sheetData>
    <row r="1" spans="1:15" ht="17">
      <c r="A1" s="15" t="s">
        <v>254</v>
      </c>
      <c r="B1" s="15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14" t="s">
        <v>253</v>
      </c>
      <c r="B2" s="14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5">
      <c r="A3" s="13" t="s">
        <v>252</v>
      </c>
      <c r="B3" s="13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5">
      <c r="A4" s="12" t="s">
        <v>251</v>
      </c>
      <c r="B4" s="12"/>
    </row>
    <row r="5" spans="1:15">
      <c r="A5" s="11" t="s">
        <v>120</v>
      </c>
      <c r="B5" s="11"/>
      <c r="C5" s="9"/>
      <c r="D5" s="9"/>
      <c r="E5" s="9"/>
      <c r="F5" s="9"/>
      <c r="G5" s="9"/>
      <c r="H5" s="10" t="s">
        <v>119</v>
      </c>
      <c r="I5" s="9"/>
      <c r="J5" s="9"/>
      <c r="K5" s="9"/>
      <c r="L5" s="9"/>
      <c r="M5" s="9"/>
      <c r="N5" s="9"/>
    </row>
    <row r="6" spans="1:15">
      <c r="A6" s="16"/>
      <c r="B6" s="16"/>
      <c r="H6" s="17"/>
    </row>
    <row r="7" spans="1:15">
      <c r="A7" s="18" t="s">
        <v>118</v>
      </c>
      <c r="B7" s="18" t="s">
        <v>286</v>
      </c>
      <c r="C7" s="18" t="s">
        <v>292</v>
      </c>
      <c r="D7" s="18" t="s">
        <v>117</v>
      </c>
      <c r="E7" s="18" t="s">
        <v>287</v>
      </c>
      <c r="F7" s="18" t="s">
        <v>288</v>
      </c>
      <c r="G7" s="18" t="s">
        <v>250</v>
      </c>
      <c r="H7" s="18" t="s">
        <v>115</v>
      </c>
      <c r="I7" s="18" t="s">
        <v>114</v>
      </c>
      <c r="J7" s="18" t="s">
        <v>113</v>
      </c>
      <c r="K7" s="18" t="s">
        <v>289</v>
      </c>
      <c r="L7" s="18" t="s">
        <v>112</v>
      </c>
      <c r="M7" s="18" t="s">
        <v>111</v>
      </c>
      <c r="N7" s="18" t="s">
        <v>110</v>
      </c>
      <c r="O7" s="18" t="s">
        <v>109</v>
      </c>
    </row>
    <row r="8" spans="1:15" s="28" customFormat="1">
      <c r="A8" s="25">
        <v>1</v>
      </c>
      <c r="B8" s="26" t="s">
        <v>121</v>
      </c>
      <c r="C8" s="26" t="s">
        <v>293</v>
      </c>
      <c r="D8" s="25" t="s">
        <v>108</v>
      </c>
      <c r="E8" s="25" t="s">
        <v>62</v>
      </c>
      <c r="F8" s="25" t="s">
        <v>59</v>
      </c>
      <c r="G8" s="25" t="str">
        <f>E8&amp;"-"&amp;F8&amp;"(14)"</f>
        <v>P4-TBSI1-M1(14)</v>
      </c>
      <c r="H8" s="27" t="str">
        <f>B8&amp;"-"&amp;A8&amp;"/"&amp;G8</f>
        <v>C4S1-1/P4-TBSI1-M1(14)</v>
      </c>
      <c r="I8" s="27" t="str">
        <f>G8&amp;"/"&amp;B8&amp;"-"&amp;A8</f>
        <v>P4-TBSI1-M1(14)/C4S1-1</v>
      </c>
      <c r="J8" s="25" t="s">
        <v>4</v>
      </c>
      <c r="K8" s="25" t="s">
        <v>285</v>
      </c>
      <c r="L8" s="27" t="s">
        <v>107</v>
      </c>
      <c r="M8" s="25" t="s">
        <v>106</v>
      </c>
      <c r="N8" s="27" t="s">
        <v>32</v>
      </c>
      <c r="O8" s="25" t="s">
        <v>31</v>
      </c>
    </row>
    <row r="9" spans="1:15" s="28" customFormat="1">
      <c r="A9" s="25">
        <v>2</v>
      </c>
      <c r="B9" s="26" t="s">
        <v>283</v>
      </c>
      <c r="C9" s="26" t="s">
        <v>293</v>
      </c>
      <c r="D9" s="25" t="s">
        <v>105</v>
      </c>
      <c r="E9" s="25" t="s">
        <v>62</v>
      </c>
      <c r="F9" s="25" t="s">
        <v>55</v>
      </c>
      <c r="G9" s="25" t="str">
        <f>E9&amp;"-"&amp;F9&amp;"(14)"</f>
        <v>P4-TBSI1-M2(14)</v>
      </c>
      <c r="H9" s="27" t="str">
        <f>B9&amp;"-"&amp;A9&amp;"/"&amp;G9</f>
        <v>C1S1-2/P4-TBSI1-M2(14)</v>
      </c>
      <c r="I9" s="27" t="str">
        <f>G9&amp;"/"&amp;B9&amp;"-"&amp;A9</f>
        <v>P4-TBSI1-M2(14)/C1S1-2</v>
      </c>
      <c r="J9" s="25" t="s">
        <v>4</v>
      </c>
      <c r="K9" s="25" t="s">
        <v>285</v>
      </c>
      <c r="L9" s="27" t="s">
        <v>104</v>
      </c>
      <c r="M9" s="25" t="s">
        <v>103</v>
      </c>
      <c r="N9" s="27" t="s">
        <v>32</v>
      </c>
      <c r="O9" s="25" t="s">
        <v>31</v>
      </c>
    </row>
    <row r="10" spans="1:15" s="28" customFormat="1">
      <c r="A10" s="25">
        <v>3</v>
      </c>
      <c r="B10" s="26" t="s">
        <v>283</v>
      </c>
      <c r="C10" s="26" t="s">
        <v>293</v>
      </c>
      <c r="D10" s="25" t="s">
        <v>102</v>
      </c>
      <c r="E10" s="25" t="s">
        <v>62</v>
      </c>
      <c r="F10" s="25" t="s">
        <v>51</v>
      </c>
      <c r="G10" s="25" t="str">
        <f>E10&amp;"-"&amp;F10&amp;"(14)"</f>
        <v>P4-TBSI1-M3(14)</v>
      </c>
      <c r="H10" s="27" t="str">
        <f>B10&amp;"-"&amp;A10&amp;"/"&amp;G10</f>
        <v>C1S1-3/P4-TBSI1-M3(14)</v>
      </c>
      <c r="I10" s="27" t="str">
        <f>G10&amp;"/"&amp;B10&amp;"-"&amp;A10</f>
        <v>P4-TBSI1-M3(14)/C1S1-3</v>
      </c>
      <c r="J10" s="25" t="s">
        <v>4</v>
      </c>
      <c r="K10" s="25" t="s">
        <v>285</v>
      </c>
      <c r="L10" s="27" t="s">
        <v>101</v>
      </c>
      <c r="M10" s="25" t="s">
        <v>100</v>
      </c>
      <c r="N10" s="27" t="s">
        <v>32</v>
      </c>
      <c r="O10" s="25" t="s">
        <v>31</v>
      </c>
    </row>
    <row r="11" spans="1:15" s="28" customFormat="1">
      <c r="A11" s="25">
        <v>4</v>
      </c>
      <c r="B11" s="26" t="s">
        <v>283</v>
      </c>
      <c r="C11" s="26" t="s">
        <v>293</v>
      </c>
      <c r="D11" s="25" t="s">
        <v>99</v>
      </c>
      <c r="E11" s="25" t="s">
        <v>62</v>
      </c>
      <c r="F11" s="25" t="s">
        <v>47</v>
      </c>
      <c r="G11" s="25" t="str">
        <f>E11&amp;"-"&amp;F11&amp;"(14)"</f>
        <v>P4-TBSI1-M4(14)</v>
      </c>
      <c r="H11" s="27" t="str">
        <f>B11&amp;"-"&amp;A11&amp;"/"&amp;G11</f>
        <v>C1S1-4/P4-TBSI1-M4(14)</v>
      </c>
      <c r="I11" s="27" t="str">
        <f>G11&amp;"/"&amp;B11&amp;"-"&amp;A11</f>
        <v>P4-TBSI1-M4(14)/C1S1-4</v>
      </c>
      <c r="J11" s="25" t="s">
        <v>4</v>
      </c>
      <c r="K11" s="25" t="s">
        <v>285</v>
      </c>
      <c r="L11" s="27" t="s">
        <v>98</v>
      </c>
      <c r="M11" s="25" t="s">
        <v>97</v>
      </c>
      <c r="N11" s="27" t="s">
        <v>32</v>
      </c>
      <c r="O11" s="25" t="s">
        <v>31</v>
      </c>
    </row>
    <row r="12" spans="1:15" s="28" customFormat="1">
      <c r="A12" s="25">
        <v>5</v>
      </c>
      <c r="B12" s="26" t="s">
        <v>283</v>
      </c>
      <c r="C12" s="26" t="s">
        <v>293</v>
      </c>
      <c r="D12" s="25" t="s">
        <v>96</v>
      </c>
      <c r="E12" s="25" t="s">
        <v>62</v>
      </c>
      <c r="F12" s="25" t="s">
        <v>43</v>
      </c>
      <c r="G12" s="25" t="str">
        <f>E12&amp;"-"&amp;F12&amp;"(14)"</f>
        <v>P4-TBSI1-M5(14)</v>
      </c>
      <c r="H12" s="27" t="str">
        <f>B12&amp;"-"&amp;A12&amp;"/"&amp;G12</f>
        <v>C1S1-5/P4-TBSI1-M5(14)</v>
      </c>
      <c r="I12" s="27" t="str">
        <f>G12&amp;"/"&amp;B12&amp;"-"&amp;A12</f>
        <v>P4-TBSI1-M5(14)/C1S1-5</v>
      </c>
      <c r="J12" s="25" t="s">
        <v>4</v>
      </c>
      <c r="K12" s="25" t="s">
        <v>285</v>
      </c>
      <c r="L12" s="27" t="s">
        <v>95</v>
      </c>
      <c r="M12" s="25" t="s">
        <v>94</v>
      </c>
      <c r="N12" s="27" t="s">
        <v>32</v>
      </c>
      <c r="O12" s="25" t="s">
        <v>31</v>
      </c>
    </row>
    <row r="13" spans="1:15" s="28" customFormat="1">
      <c r="A13" s="25">
        <v>6</v>
      </c>
      <c r="B13" s="26" t="s">
        <v>283</v>
      </c>
      <c r="C13" s="26" t="s">
        <v>293</v>
      </c>
      <c r="D13" s="25" t="s">
        <v>93</v>
      </c>
      <c r="E13" s="25" t="s">
        <v>62</v>
      </c>
      <c r="F13" s="25" t="s">
        <v>39</v>
      </c>
      <c r="G13" s="25" t="str">
        <f>E13&amp;"-"&amp;F13&amp;"(14)"</f>
        <v>P4-TBSI1-M6(14)</v>
      </c>
      <c r="H13" s="27" t="str">
        <f>B13&amp;"-"&amp;A13&amp;"/"&amp;G13</f>
        <v>C1S1-6/P4-TBSI1-M6(14)</v>
      </c>
      <c r="I13" s="27" t="str">
        <f>G13&amp;"/"&amp;B13&amp;"-"&amp;A13</f>
        <v>P4-TBSI1-M6(14)/C1S1-6</v>
      </c>
      <c r="J13" s="25" t="s">
        <v>4</v>
      </c>
      <c r="K13" s="25" t="s">
        <v>285</v>
      </c>
      <c r="L13" s="27" t="s">
        <v>92</v>
      </c>
      <c r="M13" s="25" t="s">
        <v>91</v>
      </c>
      <c r="N13" s="27" t="s">
        <v>32</v>
      </c>
      <c r="O13" s="25" t="s">
        <v>31</v>
      </c>
    </row>
    <row r="14" spans="1:15" s="28" customFormat="1">
      <c r="A14" s="25">
        <v>7</v>
      </c>
      <c r="B14" s="26" t="s">
        <v>283</v>
      </c>
      <c r="C14" s="26" t="s">
        <v>293</v>
      </c>
      <c r="D14" s="25" t="s">
        <v>90</v>
      </c>
      <c r="E14" s="25" t="s">
        <v>62</v>
      </c>
      <c r="F14" s="25" t="s">
        <v>35</v>
      </c>
      <c r="G14" s="25" t="str">
        <f>E14&amp;"-"&amp;F14&amp;"(14)"</f>
        <v>P4-TBSI1-M7(14)</v>
      </c>
      <c r="H14" s="27" t="str">
        <f>B14&amp;"-"&amp;A14&amp;"/"&amp;G14</f>
        <v>C1S1-7/P4-TBSI1-M7(14)</v>
      </c>
      <c r="I14" s="27" t="str">
        <f>G14&amp;"/"&amp;B14&amp;"-"&amp;A14</f>
        <v>P4-TBSI1-M7(14)/C1S1-7</v>
      </c>
      <c r="J14" s="25" t="s">
        <v>4</v>
      </c>
      <c r="K14" s="25" t="s">
        <v>285</v>
      </c>
      <c r="L14" s="27" t="s">
        <v>89</v>
      </c>
      <c r="M14" s="25" t="s">
        <v>88</v>
      </c>
      <c r="N14" s="27" t="s">
        <v>32</v>
      </c>
      <c r="O14" s="25" t="s">
        <v>31</v>
      </c>
    </row>
    <row r="15" spans="1:15" s="28" customFormat="1">
      <c r="A15" s="25">
        <v>8</v>
      </c>
      <c r="B15" s="26" t="s">
        <v>283</v>
      </c>
      <c r="C15" s="26" t="s">
        <v>293</v>
      </c>
      <c r="D15" s="25" t="s">
        <v>87</v>
      </c>
      <c r="E15" s="25" t="s">
        <v>62</v>
      </c>
      <c r="F15" s="25" t="s">
        <v>29</v>
      </c>
      <c r="G15" s="25" t="str">
        <f>E15&amp;"-"&amp;F15&amp;"(14)"</f>
        <v>P4-TBSI1-M8(14)</v>
      </c>
      <c r="H15" s="27" t="str">
        <f>B15&amp;"-"&amp;A15&amp;"/"&amp;G15</f>
        <v>C1S1-8/P4-TBSI1-M8(14)</v>
      </c>
      <c r="I15" s="27" t="str">
        <f>G15&amp;"/"&amp;B15&amp;"-"&amp;A15</f>
        <v>P4-TBSI1-M8(14)/C1S1-8</v>
      </c>
      <c r="J15" s="25" t="s">
        <v>4</v>
      </c>
      <c r="K15" s="25" t="s">
        <v>285</v>
      </c>
      <c r="L15" s="27" t="s">
        <v>86</v>
      </c>
      <c r="M15" s="25" t="s">
        <v>85</v>
      </c>
      <c r="N15" s="27" t="s">
        <v>32</v>
      </c>
      <c r="O15" s="25" t="s">
        <v>31</v>
      </c>
    </row>
    <row r="16" spans="1:15" s="28" customFormat="1">
      <c r="A16" s="25">
        <v>9</v>
      </c>
      <c r="B16" s="26" t="s">
        <v>283</v>
      </c>
      <c r="C16" s="26" t="s">
        <v>293</v>
      </c>
      <c r="D16" s="25" t="s">
        <v>84</v>
      </c>
      <c r="E16" s="25" t="s">
        <v>62</v>
      </c>
      <c r="F16" s="25" t="s">
        <v>27</v>
      </c>
      <c r="G16" s="25" t="str">
        <f>E16&amp;"-"&amp;F16&amp;"(14)"</f>
        <v>P4-TBSI1-M9(14)</v>
      </c>
      <c r="H16" s="27" t="str">
        <f>B16&amp;"-"&amp;A16&amp;"/"&amp;G16</f>
        <v>C1S1-9/P4-TBSI1-M9(14)</v>
      </c>
      <c r="I16" s="27" t="str">
        <f>G16&amp;"/"&amp;B16&amp;"-"&amp;A16</f>
        <v>P4-TBSI1-M9(14)/C1S1-9</v>
      </c>
      <c r="J16" s="25" t="s">
        <v>4</v>
      </c>
      <c r="K16" s="25" t="s">
        <v>285</v>
      </c>
      <c r="L16" s="27" t="s">
        <v>83</v>
      </c>
      <c r="M16" s="25" t="s">
        <v>82</v>
      </c>
      <c r="N16" s="27" t="s">
        <v>32</v>
      </c>
      <c r="O16" s="25" t="s">
        <v>31</v>
      </c>
    </row>
    <row r="17" spans="1:15" s="28" customFormat="1">
      <c r="A17" s="25">
        <v>10</v>
      </c>
      <c r="B17" s="26" t="s">
        <v>283</v>
      </c>
      <c r="C17" s="26" t="s">
        <v>293</v>
      </c>
      <c r="D17" s="25" t="s">
        <v>81</v>
      </c>
      <c r="E17" s="25" t="s">
        <v>62</v>
      </c>
      <c r="F17" s="25" t="s">
        <v>25</v>
      </c>
      <c r="G17" s="25" t="str">
        <f>E17&amp;"-"&amp;F17&amp;"(14)"</f>
        <v>P4-TBSI1-M10(14)</v>
      </c>
      <c r="H17" s="27" t="str">
        <f>B17&amp;"-"&amp;A17&amp;"/"&amp;G17</f>
        <v>C1S1-10/P4-TBSI1-M10(14)</v>
      </c>
      <c r="I17" s="27" t="str">
        <f>G17&amp;"/"&amp;B17&amp;"-"&amp;A17</f>
        <v>P4-TBSI1-M10(14)/C1S1-10</v>
      </c>
      <c r="J17" s="25" t="s">
        <v>4</v>
      </c>
      <c r="K17" s="25" t="s">
        <v>285</v>
      </c>
      <c r="L17" s="27" t="s">
        <v>80</v>
      </c>
      <c r="M17" s="25" t="s">
        <v>79</v>
      </c>
      <c r="N17" s="27" t="s">
        <v>32</v>
      </c>
      <c r="O17" s="25" t="s">
        <v>31</v>
      </c>
    </row>
    <row r="18" spans="1:15" s="28" customFormat="1">
      <c r="A18" s="25">
        <v>11</v>
      </c>
      <c r="B18" s="26" t="s">
        <v>283</v>
      </c>
      <c r="C18" s="26" t="s">
        <v>293</v>
      </c>
      <c r="D18" s="25" t="s">
        <v>78</v>
      </c>
      <c r="E18" s="25" t="s">
        <v>62</v>
      </c>
      <c r="F18" s="25" t="s">
        <v>23</v>
      </c>
      <c r="G18" s="25" t="str">
        <f>E18&amp;"-"&amp;F18&amp;"(14)"</f>
        <v>P4-TBSI1-M11(14)</v>
      </c>
      <c r="H18" s="27" t="str">
        <f>B18&amp;"-"&amp;A18&amp;"/"&amp;G18</f>
        <v>C1S1-11/P4-TBSI1-M11(14)</v>
      </c>
      <c r="I18" s="27" t="str">
        <f>G18&amp;"/"&amp;B18&amp;"-"&amp;A18</f>
        <v>P4-TBSI1-M11(14)/C1S1-11</v>
      </c>
      <c r="J18" s="25" t="s">
        <v>4</v>
      </c>
      <c r="K18" s="25" t="s">
        <v>285</v>
      </c>
      <c r="L18" s="27" t="s">
        <v>77</v>
      </c>
      <c r="M18" s="25" t="s">
        <v>76</v>
      </c>
      <c r="N18" s="27" t="s">
        <v>32</v>
      </c>
      <c r="O18" s="25" t="s">
        <v>31</v>
      </c>
    </row>
    <row r="19" spans="1:15" s="28" customFormat="1">
      <c r="A19" s="25">
        <v>12</v>
      </c>
      <c r="B19" s="26" t="s">
        <v>283</v>
      </c>
      <c r="C19" s="26" t="s">
        <v>293</v>
      </c>
      <c r="D19" s="25" t="s">
        <v>75</v>
      </c>
      <c r="E19" s="25" t="s">
        <v>62</v>
      </c>
      <c r="F19" s="25" t="s">
        <v>21</v>
      </c>
      <c r="G19" s="25" t="str">
        <f>E19&amp;"-"&amp;F19&amp;"(14)"</f>
        <v>P4-TBSI1-M12(14)</v>
      </c>
      <c r="H19" s="27" t="str">
        <f>B19&amp;"-"&amp;A19&amp;"/"&amp;G19</f>
        <v>C1S1-12/P4-TBSI1-M12(14)</v>
      </c>
      <c r="I19" s="27" t="str">
        <f>G19&amp;"/"&amp;B19&amp;"-"&amp;A19</f>
        <v>P4-TBSI1-M12(14)/C1S1-12</v>
      </c>
      <c r="J19" s="25" t="s">
        <v>4</v>
      </c>
      <c r="K19" s="25" t="s">
        <v>285</v>
      </c>
      <c r="L19" s="27" t="s">
        <v>74</v>
      </c>
      <c r="M19" s="25" t="s">
        <v>73</v>
      </c>
      <c r="N19" s="27" t="s">
        <v>32</v>
      </c>
      <c r="O19" s="25" t="s">
        <v>31</v>
      </c>
    </row>
    <row r="20" spans="1:15" s="28" customFormat="1">
      <c r="A20" s="25">
        <v>13</v>
      </c>
      <c r="B20" s="26" t="s">
        <v>283</v>
      </c>
      <c r="C20" s="26" t="s">
        <v>293</v>
      </c>
      <c r="D20" s="25" t="s">
        <v>72</v>
      </c>
      <c r="E20" s="25" t="s">
        <v>62</v>
      </c>
      <c r="F20" s="25" t="s">
        <v>19</v>
      </c>
      <c r="G20" s="25" t="str">
        <f>E20&amp;"-"&amp;F20&amp;"(14)"</f>
        <v>P4-TBSI1-M13(14)</v>
      </c>
      <c r="H20" s="27" t="str">
        <f>B20&amp;"-"&amp;A20&amp;"/"&amp;G20</f>
        <v>C1S1-13/P4-TBSI1-M13(14)</v>
      </c>
      <c r="I20" s="27" t="str">
        <f>G20&amp;"/"&amp;B20&amp;"-"&amp;A20</f>
        <v>P4-TBSI1-M13(14)/C1S1-13</v>
      </c>
      <c r="J20" s="25" t="s">
        <v>4</v>
      </c>
      <c r="K20" s="25" t="s">
        <v>285</v>
      </c>
      <c r="L20" s="27" t="s">
        <v>71</v>
      </c>
      <c r="M20" s="25" t="s">
        <v>70</v>
      </c>
      <c r="N20" s="27" t="s">
        <v>32</v>
      </c>
      <c r="O20" s="25" t="s">
        <v>31</v>
      </c>
    </row>
    <row r="21" spans="1:15" s="28" customFormat="1">
      <c r="A21" s="25">
        <v>14</v>
      </c>
      <c r="B21" s="26" t="s">
        <v>283</v>
      </c>
      <c r="C21" s="26" t="s">
        <v>293</v>
      </c>
      <c r="D21" s="25" t="s">
        <v>69</v>
      </c>
      <c r="E21" s="25" t="s">
        <v>62</v>
      </c>
      <c r="F21" s="25" t="s">
        <v>17</v>
      </c>
      <c r="G21" s="25" t="str">
        <f>E21&amp;"-"&amp;F21&amp;"(14)"</f>
        <v>P4-TBSI1-M14(14)</v>
      </c>
      <c r="H21" s="27" t="str">
        <f>B21&amp;"-"&amp;A21&amp;"/"&amp;G21</f>
        <v>C1S1-14/P4-TBSI1-M14(14)</v>
      </c>
      <c r="I21" s="27" t="str">
        <f>G21&amp;"/"&amp;B21&amp;"-"&amp;A21</f>
        <v>P4-TBSI1-M14(14)/C1S1-14</v>
      </c>
      <c r="J21" s="25" t="s">
        <v>4</v>
      </c>
      <c r="K21" s="25" t="s">
        <v>285</v>
      </c>
      <c r="L21" s="27" t="s">
        <v>68</v>
      </c>
      <c r="M21" s="25" t="s">
        <v>67</v>
      </c>
      <c r="N21" s="27" t="s">
        <v>32</v>
      </c>
      <c r="O21" s="25" t="s">
        <v>31</v>
      </c>
    </row>
    <row r="22" spans="1:15" s="28" customFormat="1">
      <c r="A22" s="25">
        <v>15</v>
      </c>
      <c r="B22" s="26" t="s">
        <v>283</v>
      </c>
      <c r="C22" s="26" t="s">
        <v>293</v>
      </c>
      <c r="D22" s="25" t="s">
        <v>66</v>
      </c>
      <c r="E22" s="25" t="s">
        <v>62</v>
      </c>
      <c r="F22" s="25" t="s">
        <v>15</v>
      </c>
      <c r="G22" s="25" t="str">
        <f>E22&amp;"-"&amp;F22&amp;"(14)"</f>
        <v>P4-TBSI1-M15(14)</v>
      </c>
      <c r="H22" s="27" t="str">
        <f>B22&amp;"-"&amp;A22&amp;"/"&amp;G22</f>
        <v>C1S1-15/P4-TBSI1-M15(14)</v>
      </c>
      <c r="I22" s="27" t="str">
        <f>G22&amp;"/"&amp;B22&amp;"-"&amp;A22</f>
        <v>P4-TBSI1-M15(14)/C1S1-15</v>
      </c>
      <c r="J22" s="25" t="s">
        <v>4</v>
      </c>
      <c r="K22" s="25" t="s">
        <v>285</v>
      </c>
      <c r="L22" s="27" t="s">
        <v>65</v>
      </c>
      <c r="M22" s="25" t="s">
        <v>64</v>
      </c>
      <c r="N22" s="27" t="s">
        <v>32</v>
      </c>
      <c r="O22" s="25" t="s">
        <v>31</v>
      </c>
    </row>
    <row r="23" spans="1:15" s="28" customFormat="1">
      <c r="A23" s="25">
        <v>16</v>
      </c>
      <c r="B23" s="26" t="s">
        <v>283</v>
      </c>
      <c r="C23" s="26" t="s">
        <v>293</v>
      </c>
      <c r="D23" s="25" t="s">
        <v>63</v>
      </c>
      <c r="E23" s="25" t="s">
        <v>62</v>
      </c>
      <c r="F23" s="25" t="s">
        <v>12</v>
      </c>
      <c r="G23" s="25" t="str">
        <f>E23&amp;"-"&amp;F23&amp;"(14)"</f>
        <v>P4-TBSI1-M16(14)</v>
      </c>
      <c r="H23" s="27" t="str">
        <f>B23&amp;"-"&amp;A23&amp;"/"&amp;G23</f>
        <v>C1S1-16/P4-TBSI1-M16(14)</v>
      </c>
      <c r="I23" s="27" t="str">
        <f>G23&amp;"/"&amp;B23&amp;"-"&amp;A23</f>
        <v>P4-TBSI1-M16(14)/C1S1-16</v>
      </c>
      <c r="J23" s="25"/>
      <c r="K23" s="25"/>
      <c r="L23" s="27" t="s">
        <v>10</v>
      </c>
      <c r="M23" s="25" t="s">
        <v>9</v>
      </c>
      <c r="N23" s="27" t="s">
        <v>8</v>
      </c>
      <c r="O23" s="25" t="s">
        <v>7</v>
      </c>
    </row>
    <row r="24" spans="1:15" s="28" customFormat="1">
      <c r="A24" s="25">
        <v>19</v>
      </c>
      <c r="B24" s="26" t="s">
        <v>283</v>
      </c>
      <c r="C24" s="26" t="s">
        <v>293</v>
      </c>
      <c r="D24" s="25" t="s">
        <v>60</v>
      </c>
      <c r="E24" s="25" t="s">
        <v>13</v>
      </c>
      <c r="F24" s="25" t="s">
        <v>59</v>
      </c>
      <c r="G24" s="25" t="str">
        <f>E24&amp;"-"&amp;F24&amp;"(14)"</f>
        <v>P4-TBSI2-M1(14)</v>
      </c>
      <c r="H24" s="27" t="str">
        <f>B24&amp;"-"&amp;A24&amp;"/"&amp;G24</f>
        <v>C1S1-19/P4-TBSI2-M1(14)</v>
      </c>
      <c r="I24" s="27" t="str">
        <f>G24&amp;"/"&amp;B24&amp;"-"&amp;A24</f>
        <v>P4-TBSI2-M1(14)/C1S1-19</v>
      </c>
      <c r="J24" s="25" t="s">
        <v>11</v>
      </c>
      <c r="K24" s="25" t="s">
        <v>285</v>
      </c>
      <c r="L24" s="27" t="s">
        <v>58</v>
      </c>
      <c r="M24" s="25" t="s">
        <v>57</v>
      </c>
      <c r="N24" s="27" t="s">
        <v>32</v>
      </c>
      <c r="O24" s="25" t="s">
        <v>31</v>
      </c>
    </row>
    <row r="25" spans="1:15" s="28" customFormat="1">
      <c r="A25" s="25">
        <v>20</v>
      </c>
      <c r="B25" s="26" t="s">
        <v>283</v>
      </c>
      <c r="C25" s="26" t="s">
        <v>293</v>
      </c>
      <c r="D25" s="25" t="s">
        <v>56</v>
      </c>
      <c r="E25" s="25" t="s">
        <v>13</v>
      </c>
      <c r="F25" s="25" t="s">
        <v>55</v>
      </c>
      <c r="G25" s="25" t="str">
        <f>E25&amp;"-"&amp;F25&amp;"(14)"</f>
        <v>P4-TBSI2-M2(14)</v>
      </c>
      <c r="H25" s="27" t="str">
        <f>B25&amp;"-"&amp;A25&amp;"/"&amp;G25</f>
        <v>C1S1-20/P4-TBSI2-M2(14)</v>
      </c>
      <c r="I25" s="27" t="str">
        <f>G25&amp;"/"&amp;B25&amp;"-"&amp;A25</f>
        <v>P4-TBSI2-M2(14)/C1S1-20</v>
      </c>
      <c r="J25" s="25" t="s">
        <v>11</v>
      </c>
      <c r="K25" s="25" t="s">
        <v>285</v>
      </c>
      <c r="L25" s="27" t="s">
        <v>54</v>
      </c>
      <c r="M25" s="25" t="s">
        <v>53</v>
      </c>
      <c r="N25" s="27" t="s">
        <v>32</v>
      </c>
      <c r="O25" s="25" t="s">
        <v>31</v>
      </c>
    </row>
    <row r="26" spans="1:15" s="28" customFormat="1">
      <c r="A26" s="25">
        <v>21</v>
      </c>
      <c r="B26" s="26" t="s">
        <v>283</v>
      </c>
      <c r="C26" s="26" t="s">
        <v>293</v>
      </c>
      <c r="D26" s="25" t="s">
        <v>52</v>
      </c>
      <c r="E26" s="25" t="s">
        <v>13</v>
      </c>
      <c r="F26" s="25" t="s">
        <v>51</v>
      </c>
      <c r="G26" s="25" t="str">
        <f>E26&amp;"-"&amp;F26&amp;"(14)"</f>
        <v>P4-TBSI2-M3(14)</v>
      </c>
      <c r="H26" s="27" t="str">
        <f>B26&amp;"-"&amp;A26&amp;"/"&amp;G26</f>
        <v>C1S1-21/P4-TBSI2-M3(14)</v>
      </c>
      <c r="I26" s="27" t="str">
        <f>G26&amp;"/"&amp;B26&amp;"-"&amp;A26</f>
        <v>P4-TBSI2-M3(14)/C1S1-21</v>
      </c>
      <c r="J26" s="25" t="s">
        <v>11</v>
      </c>
      <c r="K26" s="25" t="s">
        <v>285</v>
      </c>
      <c r="L26" s="27" t="s">
        <v>50</v>
      </c>
      <c r="M26" s="25" t="s">
        <v>49</v>
      </c>
      <c r="N26" s="27" t="s">
        <v>32</v>
      </c>
      <c r="O26" s="25" t="s">
        <v>31</v>
      </c>
    </row>
    <row r="27" spans="1:15" s="28" customFormat="1">
      <c r="A27" s="25">
        <v>22</v>
      </c>
      <c r="B27" s="26" t="s">
        <v>283</v>
      </c>
      <c r="C27" s="26" t="s">
        <v>293</v>
      </c>
      <c r="D27" s="25" t="s">
        <v>48</v>
      </c>
      <c r="E27" s="25" t="s">
        <v>13</v>
      </c>
      <c r="F27" s="25" t="s">
        <v>47</v>
      </c>
      <c r="G27" s="25" t="str">
        <f>E27&amp;"-"&amp;F27&amp;"(14)"</f>
        <v>P4-TBSI2-M4(14)</v>
      </c>
      <c r="H27" s="27" t="str">
        <f>B27&amp;"-"&amp;A27&amp;"/"&amp;G27</f>
        <v>C1S1-22/P4-TBSI2-M4(14)</v>
      </c>
      <c r="I27" s="27" t="str">
        <f>G27&amp;"/"&amp;B27&amp;"-"&amp;A27</f>
        <v>P4-TBSI2-M4(14)/C1S1-22</v>
      </c>
      <c r="J27" s="25" t="s">
        <v>11</v>
      </c>
      <c r="K27" s="25" t="s">
        <v>285</v>
      </c>
      <c r="L27" s="27" t="s">
        <v>46</v>
      </c>
      <c r="M27" s="25" t="s">
        <v>45</v>
      </c>
      <c r="N27" s="27" t="s">
        <v>32</v>
      </c>
      <c r="O27" s="25" t="s">
        <v>31</v>
      </c>
    </row>
    <row r="28" spans="1:15" s="28" customFormat="1">
      <c r="A28" s="25">
        <v>23</v>
      </c>
      <c r="B28" s="26" t="s">
        <v>283</v>
      </c>
      <c r="C28" s="26" t="s">
        <v>293</v>
      </c>
      <c r="D28" s="25" t="s">
        <v>44</v>
      </c>
      <c r="E28" s="25" t="s">
        <v>13</v>
      </c>
      <c r="F28" s="25" t="s">
        <v>43</v>
      </c>
      <c r="G28" s="25" t="str">
        <f>E28&amp;"-"&amp;F28&amp;"(14)"</f>
        <v>P4-TBSI2-M5(14)</v>
      </c>
      <c r="H28" s="27" t="str">
        <f>B28&amp;"-"&amp;A28&amp;"/"&amp;G28</f>
        <v>C1S1-23/P4-TBSI2-M5(14)</v>
      </c>
      <c r="I28" s="27" t="str">
        <f>G28&amp;"/"&amp;B28&amp;"-"&amp;A28</f>
        <v>P4-TBSI2-M5(14)/C1S1-23</v>
      </c>
      <c r="J28" s="25" t="s">
        <v>11</v>
      </c>
      <c r="K28" s="25" t="s">
        <v>285</v>
      </c>
      <c r="L28" s="27" t="s">
        <v>42</v>
      </c>
      <c r="M28" s="25" t="s">
        <v>41</v>
      </c>
      <c r="N28" s="27" t="s">
        <v>32</v>
      </c>
      <c r="O28" s="25" t="s">
        <v>31</v>
      </c>
    </row>
    <row r="29" spans="1:15" s="28" customFormat="1">
      <c r="A29" s="25">
        <v>24</v>
      </c>
      <c r="B29" s="26" t="s">
        <v>283</v>
      </c>
      <c r="C29" s="26" t="s">
        <v>293</v>
      </c>
      <c r="D29" s="25" t="s">
        <v>40</v>
      </c>
      <c r="E29" s="25" t="s">
        <v>13</v>
      </c>
      <c r="F29" s="25" t="s">
        <v>39</v>
      </c>
      <c r="G29" s="25" t="str">
        <f>E29&amp;"-"&amp;F29&amp;"(14)"</f>
        <v>P4-TBSI2-M6(14)</v>
      </c>
      <c r="H29" s="27" t="str">
        <f>B29&amp;"-"&amp;A29&amp;"/"&amp;G29</f>
        <v>C1S1-24/P4-TBSI2-M6(14)</v>
      </c>
      <c r="I29" s="27" t="str">
        <f>G29&amp;"/"&amp;B29&amp;"-"&amp;A29</f>
        <v>P4-TBSI2-M6(14)/C1S1-24</v>
      </c>
      <c r="J29" s="25" t="s">
        <v>11</v>
      </c>
      <c r="K29" s="25" t="s">
        <v>285</v>
      </c>
      <c r="L29" s="27" t="s">
        <v>38</v>
      </c>
      <c r="M29" s="25" t="s">
        <v>37</v>
      </c>
      <c r="N29" s="27" t="s">
        <v>32</v>
      </c>
      <c r="O29" s="25" t="s">
        <v>31</v>
      </c>
    </row>
    <row r="30" spans="1:15" s="28" customFormat="1">
      <c r="A30" s="25">
        <v>25</v>
      </c>
      <c r="B30" s="26" t="s">
        <v>283</v>
      </c>
      <c r="C30" s="26" t="s">
        <v>293</v>
      </c>
      <c r="D30" s="25" t="s">
        <v>36</v>
      </c>
      <c r="E30" s="25" t="s">
        <v>13</v>
      </c>
      <c r="F30" s="25" t="s">
        <v>35</v>
      </c>
      <c r="G30" s="25" t="str">
        <f>E30&amp;"-"&amp;F30&amp;"(14)"</f>
        <v>P4-TBSI2-M7(14)</v>
      </c>
      <c r="H30" s="27" t="str">
        <f>B30&amp;"-"&amp;A30&amp;"/"&amp;G30</f>
        <v>C1S1-25/P4-TBSI2-M7(14)</v>
      </c>
      <c r="I30" s="27" t="str">
        <f>G30&amp;"/"&amp;B30&amp;"-"&amp;A30</f>
        <v>P4-TBSI2-M7(14)/C1S1-25</v>
      </c>
      <c r="J30" s="25" t="s">
        <v>11</v>
      </c>
      <c r="K30" s="25" t="s">
        <v>285</v>
      </c>
      <c r="L30" s="27" t="s">
        <v>34</v>
      </c>
      <c r="M30" s="25" t="s">
        <v>33</v>
      </c>
      <c r="N30" s="27" t="s">
        <v>32</v>
      </c>
      <c r="O30" s="25" t="s">
        <v>31</v>
      </c>
    </row>
    <row r="31" spans="1:15" s="28" customFormat="1">
      <c r="A31" s="25">
        <v>26</v>
      </c>
      <c r="B31" s="26" t="s">
        <v>283</v>
      </c>
      <c r="C31" s="26" t="s">
        <v>293</v>
      </c>
      <c r="D31" s="25" t="s">
        <v>30</v>
      </c>
      <c r="E31" s="25" t="s">
        <v>13</v>
      </c>
      <c r="F31" s="25" t="s">
        <v>29</v>
      </c>
      <c r="G31" s="25" t="str">
        <f>E31&amp;"-"&amp;F31&amp;"(14)"</f>
        <v>P4-TBSI2-M8(14)</v>
      </c>
      <c r="H31" s="27" t="str">
        <f>B31&amp;"-"&amp;A31&amp;"/"&amp;G31</f>
        <v>C1S1-26/P4-TBSI2-M8(14)</v>
      </c>
      <c r="I31" s="27" t="str">
        <f>G31&amp;"/"&amp;B31&amp;"-"&amp;A31</f>
        <v>P4-TBSI2-M8(14)/C1S1-26</v>
      </c>
      <c r="J31" s="25" t="s">
        <v>125</v>
      </c>
      <c r="K31" s="25" t="s">
        <v>285</v>
      </c>
      <c r="L31" s="27" t="s">
        <v>199</v>
      </c>
      <c r="M31" s="25" t="s">
        <v>198</v>
      </c>
      <c r="N31" s="27" t="s">
        <v>32</v>
      </c>
      <c r="O31" s="25" t="s">
        <v>31</v>
      </c>
    </row>
    <row r="32" spans="1:15" s="28" customFormat="1">
      <c r="A32" s="25">
        <v>27</v>
      </c>
      <c r="B32" s="26" t="s">
        <v>283</v>
      </c>
      <c r="C32" s="26" t="s">
        <v>293</v>
      </c>
      <c r="D32" s="25" t="s">
        <v>28</v>
      </c>
      <c r="E32" s="25" t="s">
        <v>13</v>
      </c>
      <c r="F32" s="25" t="s">
        <v>27</v>
      </c>
      <c r="G32" s="25" t="str">
        <f>E32&amp;"-"&amp;F32&amp;"(14)"</f>
        <v>P4-TBSI2-M9(14)</v>
      </c>
      <c r="H32" s="27" t="str">
        <f>B32&amp;"-"&amp;A32&amp;"/"&amp;G32</f>
        <v>C1S1-27/P4-TBSI2-M9(14)</v>
      </c>
      <c r="I32" s="27" t="str">
        <f>G32&amp;"/"&amp;B32&amp;"-"&amp;A32</f>
        <v>P4-TBSI2-M9(14)/C1S1-27</v>
      </c>
      <c r="J32" s="25" t="s">
        <v>125</v>
      </c>
      <c r="K32" s="25" t="s">
        <v>285</v>
      </c>
      <c r="L32" s="27" t="s">
        <v>197</v>
      </c>
      <c r="M32" s="25" t="s">
        <v>196</v>
      </c>
      <c r="N32" s="27" t="s">
        <v>32</v>
      </c>
      <c r="O32" s="25" t="s">
        <v>31</v>
      </c>
    </row>
    <row r="33" spans="1:15" s="28" customFormat="1">
      <c r="A33" s="25">
        <v>28</v>
      </c>
      <c r="B33" s="26" t="s">
        <v>283</v>
      </c>
      <c r="C33" s="26" t="s">
        <v>293</v>
      </c>
      <c r="D33" s="25" t="s">
        <v>26</v>
      </c>
      <c r="E33" s="25" t="s">
        <v>13</v>
      </c>
      <c r="F33" s="25" t="s">
        <v>25</v>
      </c>
      <c r="G33" s="25" t="str">
        <f>E33&amp;"-"&amp;F33&amp;"(14)"</f>
        <v>P4-TBSI2-M10(14)</v>
      </c>
      <c r="H33" s="27" t="str">
        <f>B33&amp;"-"&amp;A33&amp;"/"&amp;G33</f>
        <v>C1S1-28/P4-TBSI2-M10(14)</v>
      </c>
      <c r="I33" s="27" t="str">
        <f>G33&amp;"/"&amp;B33&amp;"-"&amp;A33</f>
        <v>P4-TBSI2-M10(14)/C1S1-28</v>
      </c>
      <c r="J33" s="25" t="s">
        <v>125</v>
      </c>
      <c r="K33" s="25" t="s">
        <v>285</v>
      </c>
      <c r="L33" s="27" t="s">
        <v>195</v>
      </c>
      <c r="M33" s="25" t="s">
        <v>194</v>
      </c>
      <c r="N33" s="27" t="s">
        <v>32</v>
      </c>
      <c r="O33" s="25" t="s">
        <v>31</v>
      </c>
    </row>
    <row r="34" spans="1:15" s="28" customFormat="1">
      <c r="A34" s="25">
        <v>29</v>
      </c>
      <c r="B34" s="26" t="s">
        <v>283</v>
      </c>
      <c r="C34" s="26" t="s">
        <v>293</v>
      </c>
      <c r="D34" s="25" t="s">
        <v>24</v>
      </c>
      <c r="E34" s="25" t="s">
        <v>13</v>
      </c>
      <c r="F34" s="25" t="s">
        <v>23</v>
      </c>
      <c r="G34" s="25" t="str">
        <f>E34&amp;"-"&amp;F34&amp;"(14)"</f>
        <v>P4-TBSI2-M11(14)</v>
      </c>
      <c r="H34" s="27" t="str">
        <f>B34&amp;"-"&amp;A34&amp;"/"&amp;G34</f>
        <v>C1S1-29/P4-TBSI2-M11(14)</v>
      </c>
      <c r="I34" s="27" t="str">
        <f>G34&amp;"/"&amp;B34&amp;"-"&amp;A34</f>
        <v>P4-TBSI2-M11(14)/C1S1-29</v>
      </c>
      <c r="J34" s="25" t="s">
        <v>125</v>
      </c>
      <c r="K34" s="25" t="s">
        <v>285</v>
      </c>
      <c r="L34" s="27" t="s">
        <v>193</v>
      </c>
      <c r="M34" s="25" t="s">
        <v>192</v>
      </c>
      <c r="N34" s="27" t="s">
        <v>32</v>
      </c>
      <c r="O34" s="25" t="s">
        <v>31</v>
      </c>
    </row>
    <row r="35" spans="1:15" s="28" customFormat="1">
      <c r="A35" s="25">
        <v>30</v>
      </c>
      <c r="B35" s="26" t="s">
        <v>283</v>
      </c>
      <c r="C35" s="26" t="s">
        <v>293</v>
      </c>
      <c r="D35" s="25" t="s">
        <v>22</v>
      </c>
      <c r="E35" s="25" t="s">
        <v>13</v>
      </c>
      <c r="F35" s="25" t="s">
        <v>21</v>
      </c>
      <c r="G35" s="25" t="str">
        <f>E35&amp;"-"&amp;F35&amp;"(14)"</f>
        <v>P4-TBSI2-M12(14)</v>
      </c>
      <c r="H35" s="27" t="str">
        <f>B35&amp;"-"&amp;A35&amp;"/"&amp;G35</f>
        <v>C1S1-30/P4-TBSI2-M12(14)</v>
      </c>
      <c r="I35" s="27" t="str">
        <f>G35&amp;"/"&amp;B35&amp;"-"&amp;A35</f>
        <v>P4-TBSI2-M12(14)/C1S1-30</v>
      </c>
      <c r="J35" s="25" t="s">
        <v>125</v>
      </c>
      <c r="K35" s="25" t="s">
        <v>285</v>
      </c>
      <c r="L35" s="27" t="s">
        <v>191</v>
      </c>
      <c r="M35" s="25" t="s">
        <v>190</v>
      </c>
      <c r="N35" s="27" t="s">
        <v>32</v>
      </c>
      <c r="O35" s="25" t="s">
        <v>31</v>
      </c>
    </row>
    <row r="36" spans="1:15" s="28" customFormat="1">
      <c r="A36" s="25">
        <v>31</v>
      </c>
      <c r="B36" s="26" t="s">
        <v>283</v>
      </c>
      <c r="C36" s="26" t="s">
        <v>293</v>
      </c>
      <c r="D36" s="25" t="s">
        <v>20</v>
      </c>
      <c r="E36" s="25" t="s">
        <v>13</v>
      </c>
      <c r="F36" s="25" t="s">
        <v>19</v>
      </c>
      <c r="G36" s="25" t="str">
        <f>E36&amp;"-"&amp;F36&amp;"(14)"</f>
        <v>P4-TBSI2-M13(14)</v>
      </c>
      <c r="H36" s="27" t="str">
        <f>B36&amp;"-"&amp;A36&amp;"/"&amp;G36</f>
        <v>C1S1-31/P4-TBSI2-M13(14)</v>
      </c>
      <c r="I36" s="27" t="str">
        <f>G36&amp;"/"&amp;B36&amp;"-"&amp;A36</f>
        <v>P4-TBSI2-M13(14)/C1S1-31</v>
      </c>
      <c r="J36" s="25" t="s">
        <v>125</v>
      </c>
      <c r="K36" s="25" t="s">
        <v>285</v>
      </c>
      <c r="L36" s="27" t="s">
        <v>189</v>
      </c>
      <c r="M36" s="25" t="s">
        <v>188</v>
      </c>
      <c r="N36" s="27" t="s">
        <v>32</v>
      </c>
      <c r="O36" s="25" t="s">
        <v>31</v>
      </c>
    </row>
    <row r="37" spans="1:15" s="28" customFormat="1">
      <c r="A37" s="25">
        <v>32</v>
      </c>
      <c r="B37" s="26" t="s">
        <v>283</v>
      </c>
      <c r="C37" s="26" t="s">
        <v>293</v>
      </c>
      <c r="D37" s="25" t="s">
        <v>18</v>
      </c>
      <c r="E37" s="25" t="s">
        <v>13</v>
      </c>
      <c r="F37" s="25" t="s">
        <v>17</v>
      </c>
      <c r="G37" s="25" t="str">
        <f>E37&amp;"-"&amp;F37&amp;"(14)"</f>
        <v>P4-TBSI2-M14(14)</v>
      </c>
      <c r="H37" s="27" t="str">
        <f>B37&amp;"-"&amp;A37&amp;"/"&amp;G37</f>
        <v>C1S1-32/P4-TBSI2-M14(14)</v>
      </c>
      <c r="I37" s="27" t="str">
        <f>G37&amp;"/"&amp;B37&amp;"-"&amp;A37</f>
        <v>P4-TBSI2-M14(14)/C1S1-32</v>
      </c>
      <c r="J37" s="25" t="s">
        <v>125</v>
      </c>
      <c r="K37" s="25" t="s">
        <v>285</v>
      </c>
      <c r="L37" s="27" t="s">
        <v>187</v>
      </c>
      <c r="M37" s="25" t="s">
        <v>186</v>
      </c>
      <c r="N37" s="27" t="s">
        <v>32</v>
      </c>
      <c r="O37" s="25" t="s">
        <v>31</v>
      </c>
    </row>
    <row r="38" spans="1:15" s="28" customFormat="1">
      <c r="A38" s="25">
        <v>33</v>
      </c>
      <c r="B38" s="26" t="s">
        <v>283</v>
      </c>
      <c r="C38" s="26" t="s">
        <v>293</v>
      </c>
      <c r="D38" s="25" t="s">
        <v>16</v>
      </c>
      <c r="E38" s="25" t="s">
        <v>13</v>
      </c>
      <c r="F38" s="25" t="s">
        <v>15</v>
      </c>
      <c r="G38" s="25" t="str">
        <f>E38&amp;"-"&amp;F38&amp;"(14)"</f>
        <v>P4-TBSI2-M15(14)</v>
      </c>
      <c r="H38" s="27" t="str">
        <f>B38&amp;"-"&amp;A38&amp;"/"&amp;G38</f>
        <v>C1S1-33/P4-TBSI2-M15(14)</v>
      </c>
      <c r="I38" s="27" t="str">
        <f>G38&amp;"/"&amp;B38&amp;"-"&amp;A38</f>
        <v>P4-TBSI2-M15(14)/C1S1-33</v>
      </c>
      <c r="J38" s="25" t="s">
        <v>125</v>
      </c>
      <c r="K38" s="25" t="s">
        <v>285</v>
      </c>
      <c r="L38" s="27" t="s">
        <v>185</v>
      </c>
      <c r="M38" s="25" t="s">
        <v>184</v>
      </c>
      <c r="N38" s="27" t="s">
        <v>32</v>
      </c>
      <c r="O38" s="25" t="s">
        <v>31</v>
      </c>
    </row>
    <row r="39" spans="1:15" s="28" customFormat="1">
      <c r="A39" s="25">
        <v>34</v>
      </c>
      <c r="B39" s="26" t="s">
        <v>283</v>
      </c>
      <c r="C39" s="26" t="s">
        <v>293</v>
      </c>
      <c r="D39" s="25" t="s">
        <v>14</v>
      </c>
      <c r="E39" s="25" t="s">
        <v>13</v>
      </c>
      <c r="F39" s="25" t="s">
        <v>12</v>
      </c>
      <c r="G39" s="25" t="str">
        <f>E39&amp;"-"&amp;F39&amp;"(14)"</f>
        <v>P4-TBSI2-M16(14)</v>
      </c>
      <c r="H39" s="27" t="str">
        <f>B39&amp;"-"&amp;A39&amp;"/"&amp;G39</f>
        <v>C1S1-34/P4-TBSI2-M16(14)</v>
      </c>
      <c r="I39" s="27" t="str">
        <f>G39&amp;"/"&amp;B39&amp;"-"&amp;A39</f>
        <v>P4-TBSI2-M16(14)/C1S1-34</v>
      </c>
      <c r="J39" s="25" t="s">
        <v>125</v>
      </c>
      <c r="K39" s="25" t="s">
        <v>285</v>
      </c>
      <c r="L39" s="27" t="s">
        <v>183</v>
      </c>
      <c r="M39" s="25" t="s">
        <v>182</v>
      </c>
      <c r="N39" s="27" t="s">
        <v>32</v>
      </c>
      <c r="O39" s="25" t="s">
        <v>31</v>
      </c>
    </row>
    <row r="40" spans="1:15" s="28" customFormat="1">
      <c r="A40" s="25">
        <v>1</v>
      </c>
      <c r="B40" s="25" t="s">
        <v>284</v>
      </c>
      <c r="C40" s="26" t="s">
        <v>293</v>
      </c>
      <c r="D40" s="25" t="s">
        <v>108</v>
      </c>
      <c r="E40" s="25" t="s">
        <v>169</v>
      </c>
      <c r="F40" s="25" t="s">
        <v>59</v>
      </c>
      <c r="G40" s="25" t="str">
        <f>E40&amp;"-"&amp;F40&amp;"(14)"</f>
        <v>P4-TBSI3-M1(14)</v>
      </c>
      <c r="H40" s="27" t="str">
        <f>B40&amp;"-"&amp;A40&amp;"/"&amp;G40</f>
        <v>C1S2-1/P4-TBSI3-M1(14)</v>
      </c>
      <c r="I40" s="27" t="str">
        <f>G40&amp;"/"&amp;B40&amp;"-"&amp;A40</f>
        <v>P4-TBSI3-M1(14)/C1S2-1</v>
      </c>
      <c r="J40" s="25" t="s">
        <v>125</v>
      </c>
      <c r="K40" s="25" t="s">
        <v>285</v>
      </c>
      <c r="L40" s="27" t="s">
        <v>181</v>
      </c>
      <c r="M40" s="25" t="s">
        <v>180</v>
      </c>
      <c r="N40" s="27" t="s">
        <v>32</v>
      </c>
      <c r="O40" s="25" t="s">
        <v>31</v>
      </c>
    </row>
    <row r="41" spans="1:15" s="28" customFormat="1">
      <c r="A41" s="25">
        <v>2</v>
      </c>
      <c r="B41" s="25" t="s">
        <v>284</v>
      </c>
      <c r="C41" s="26" t="s">
        <v>293</v>
      </c>
      <c r="D41" s="25" t="s">
        <v>105</v>
      </c>
      <c r="E41" s="25" t="s">
        <v>169</v>
      </c>
      <c r="F41" s="25" t="s">
        <v>59</v>
      </c>
      <c r="G41" s="25" t="str">
        <f>E41&amp;"-"&amp;F41&amp;"(14)"</f>
        <v>P4-TBSI3-M1(14)</v>
      </c>
      <c r="H41" s="27" t="str">
        <f>B41&amp;"-"&amp;A41&amp;"/"&amp;G41</f>
        <v>C1S2-2/P4-TBSI3-M1(14)</v>
      </c>
      <c r="I41" s="27" t="str">
        <f>G41&amp;"/"&amp;B41&amp;"-"&amp;A41</f>
        <v>P4-TBSI3-M1(14)/C1S2-2</v>
      </c>
      <c r="J41" s="25" t="s">
        <v>125</v>
      </c>
      <c r="K41" s="25" t="s">
        <v>285</v>
      </c>
      <c r="L41" s="27" t="s">
        <v>179</v>
      </c>
      <c r="M41" s="25" t="s">
        <v>178</v>
      </c>
      <c r="N41" s="27" t="s">
        <v>32</v>
      </c>
      <c r="O41" s="25" t="s">
        <v>31</v>
      </c>
    </row>
    <row r="42" spans="1:15" s="28" customFormat="1">
      <c r="A42" s="25">
        <v>3</v>
      </c>
      <c r="B42" s="25" t="s">
        <v>284</v>
      </c>
      <c r="C42" s="26" t="s">
        <v>293</v>
      </c>
      <c r="D42" s="25" t="s">
        <v>102</v>
      </c>
      <c r="E42" s="25" t="s">
        <v>169</v>
      </c>
      <c r="F42" s="25" t="s">
        <v>59</v>
      </c>
      <c r="G42" s="25" t="str">
        <f>E42&amp;"-"&amp;F42&amp;"(14)"</f>
        <v>P4-TBSI3-M1(14)</v>
      </c>
      <c r="H42" s="27" t="str">
        <f>B42&amp;"-"&amp;A42&amp;"/"&amp;G42</f>
        <v>C1S2-3/P4-TBSI3-M1(14)</v>
      </c>
      <c r="I42" s="27" t="str">
        <f>G42&amp;"/"&amp;B42&amp;"-"&amp;A42</f>
        <v>P4-TBSI3-M1(14)/C1S2-3</v>
      </c>
      <c r="J42" s="25" t="s">
        <v>125</v>
      </c>
      <c r="K42" s="25" t="s">
        <v>285</v>
      </c>
      <c r="L42" s="27" t="s">
        <v>177</v>
      </c>
      <c r="M42" s="25" t="s">
        <v>176</v>
      </c>
      <c r="N42" s="27" t="s">
        <v>32</v>
      </c>
      <c r="O42" s="25" t="s">
        <v>31</v>
      </c>
    </row>
    <row r="43" spans="1:15" s="28" customFormat="1">
      <c r="A43" s="25">
        <v>4</v>
      </c>
      <c r="B43" s="25" t="s">
        <v>284</v>
      </c>
      <c r="C43" s="26" t="s">
        <v>293</v>
      </c>
      <c r="D43" s="25" t="s">
        <v>99</v>
      </c>
      <c r="E43" s="25" t="s">
        <v>169</v>
      </c>
      <c r="F43" s="25" t="s">
        <v>59</v>
      </c>
      <c r="G43" s="25" t="str">
        <f>E43&amp;"-"&amp;F43&amp;"(14)"</f>
        <v>P4-TBSI3-M1(14)</v>
      </c>
      <c r="H43" s="27" t="str">
        <f>B43&amp;"-"&amp;A43&amp;"/"&amp;G43</f>
        <v>C1S2-4/P4-TBSI3-M1(14)</v>
      </c>
      <c r="I43" s="27" t="str">
        <f>G43&amp;"/"&amp;B43&amp;"-"&amp;A43</f>
        <v>P4-TBSI3-M1(14)/C1S2-4</v>
      </c>
      <c r="J43" s="25" t="s">
        <v>125</v>
      </c>
      <c r="K43" s="25" t="s">
        <v>285</v>
      </c>
      <c r="L43" s="27" t="s">
        <v>175</v>
      </c>
      <c r="M43" s="25" t="s">
        <v>174</v>
      </c>
      <c r="N43" s="27" t="s">
        <v>32</v>
      </c>
      <c r="O43" s="25" t="s">
        <v>31</v>
      </c>
    </row>
    <row r="44" spans="1:15" s="28" customFormat="1">
      <c r="A44" s="25">
        <v>5</v>
      </c>
      <c r="B44" s="25" t="s">
        <v>284</v>
      </c>
      <c r="C44" s="26" t="s">
        <v>293</v>
      </c>
      <c r="D44" s="25" t="s">
        <v>96</v>
      </c>
      <c r="E44" s="25" t="s">
        <v>169</v>
      </c>
      <c r="F44" s="25" t="s">
        <v>59</v>
      </c>
      <c r="G44" s="25" t="str">
        <f>E44&amp;"-"&amp;F44&amp;"(14)"</f>
        <v>P4-TBSI3-M1(14)</v>
      </c>
      <c r="H44" s="27" t="str">
        <f>B44&amp;"-"&amp;A44&amp;"/"&amp;G44</f>
        <v>C1S2-5/P4-TBSI3-M1(14)</v>
      </c>
      <c r="I44" s="27" t="str">
        <f>G44&amp;"/"&amp;B44&amp;"-"&amp;A44</f>
        <v>P4-TBSI3-M1(14)/C1S2-5</v>
      </c>
      <c r="J44" s="25" t="s">
        <v>125</v>
      </c>
      <c r="K44" s="25" t="s">
        <v>285</v>
      </c>
      <c r="L44" s="27" t="s">
        <v>173</v>
      </c>
      <c r="M44" s="25" t="s">
        <v>172</v>
      </c>
      <c r="N44" s="27" t="s">
        <v>32</v>
      </c>
      <c r="O44" s="25" t="s">
        <v>31</v>
      </c>
    </row>
    <row r="45" spans="1:15" s="28" customFormat="1">
      <c r="A45" s="25">
        <v>6</v>
      </c>
      <c r="B45" s="25" t="s">
        <v>284</v>
      </c>
      <c r="C45" s="26" t="s">
        <v>293</v>
      </c>
      <c r="D45" s="25" t="s">
        <v>93</v>
      </c>
      <c r="E45" s="25" t="s">
        <v>169</v>
      </c>
      <c r="F45" s="25" t="s">
        <v>59</v>
      </c>
      <c r="G45" s="25" t="str">
        <f>E45&amp;"-"&amp;F45&amp;"(14)"</f>
        <v>P4-TBSI3-M1(14)</v>
      </c>
      <c r="H45" s="27" t="str">
        <f>B45&amp;"-"&amp;A45&amp;"/"&amp;G45</f>
        <v>C1S2-6/P4-TBSI3-M1(14)</v>
      </c>
      <c r="I45" s="27" t="str">
        <f>G45&amp;"/"&amp;B45&amp;"-"&amp;A45</f>
        <v>P4-TBSI3-M1(14)/C1S2-6</v>
      </c>
      <c r="J45" s="25" t="s">
        <v>125</v>
      </c>
      <c r="K45" s="25" t="s">
        <v>285</v>
      </c>
      <c r="L45" s="27" t="s">
        <v>171</v>
      </c>
      <c r="M45" s="25" t="s">
        <v>170</v>
      </c>
      <c r="N45" s="27" t="s">
        <v>32</v>
      </c>
      <c r="O45" s="25" t="s">
        <v>31</v>
      </c>
    </row>
    <row r="46" spans="1:15" s="28" customFormat="1">
      <c r="A46" s="25">
        <v>7</v>
      </c>
      <c r="B46" s="25" t="s">
        <v>284</v>
      </c>
      <c r="C46" s="26" t="s">
        <v>293</v>
      </c>
      <c r="D46" s="25" t="s">
        <v>90</v>
      </c>
      <c r="E46" s="25" t="s">
        <v>169</v>
      </c>
      <c r="F46" s="25" t="s">
        <v>59</v>
      </c>
      <c r="G46" s="25" t="str">
        <f>E46&amp;"-"&amp;F46&amp;"(14)"</f>
        <v>P4-TBSI3-M1(14)</v>
      </c>
      <c r="H46" s="27" t="str">
        <f>B46&amp;"-"&amp;A46&amp;"/"&amp;G46</f>
        <v>C1S2-7/P4-TBSI3-M1(14)</v>
      </c>
      <c r="I46" s="27" t="str">
        <f>G46&amp;"/"&amp;B46&amp;"-"&amp;A46</f>
        <v>P4-TBSI3-M1(14)/C1S2-7</v>
      </c>
      <c r="J46" s="25" t="s">
        <v>126</v>
      </c>
      <c r="K46" s="25" t="s">
        <v>285</v>
      </c>
      <c r="L46" s="27" t="s">
        <v>167</v>
      </c>
      <c r="M46" s="25" t="s">
        <v>166</v>
      </c>
      <c r="N46" s="27" t="s">
        <v>32</v>
      </c>
      <c r="O46" s="25" t="s">
        <v>31</v>
      </c>
    </row>
    <row r="47" spans="1:15" s="28" customFormat="1">
      <c r="A47" s="25">
        <v>8</v>
      </c>
      <c r="B47" s="25" t="s">
        <v>284</v>
      </c>
      <c r="C47" s="26" t="s">
        <v>293</v>
      </c>
      <c r="D47" s="25" t="s">
        <v>87</v>
      </c>
      <c r="E47" s="25" t="s">
        <v>169</v>
      </c>
      <c r="F47" s="25" t="s">
        <v>59</v>
      </c>
      <c r="G47" s="25" t="str">
        <f>E47&amp;"-"&amp;F47&amp;"(14)"</f>
        <v>P4-TBSI3-M1(14)</v>
      </c>
      <c r="H47" s="27" t="str">
        <f>B47&amp;"-"&amp;A47&amp;"/"&amp;G47</f>
        <v>C1S2-8/P4-TBSI3-M1(14)</v>
      </c>
      <c r="I47" s="27" t="str">
        <f>G47&amp;"/"&amp;B47&amp;"-"&amp;A47</f>
        <v>P4-TBSI3-M1(14)/C1S2-8</v>
      </c>
      <c r="J47" s="25" t="s">
        <v>126</v>
      </c>
      <c r="K47" s="25" t="s">
        <v>285</v>
      </c>
      <c r="L47" s="27" t="s">
        <v>164</v>
      </c>
      <c r="M47" s="25" t="s">
        <v>163</v>
      </c>
      <c r="N47" s="27" t="s">
        <v>32</v>
      </c>
      <c r="O47" s="25" t="s">
        <v>31</v>
      </c>
    </row>
    <row r="48" spans="1:15" s="28" customFormat="1">
      <c r="A48" s="25">
        <v>9</v>
      </c>
      <c r="B48" s="25" t="s">
        <v>284</v>
      </c>
      <c r="C48" s="26" t="s">
        <v>293</v>
      </c>
      <c r="D48" s="25" t="s">
        <v>84</v>
      </c>
      <c r="E48" s="25" t="s">
        <v>169</v>
      </c>
      <c r="F48" s="25" t="s">
        <v>59</v>
      </c>
      <c r="G48" s="25" t="str">
        <f>E48&amp;"-"&amp;F48&amp;"(14)"</f>
        <v>P4-TBSI3-M1(14)</v>
      </c>
      <c r="H48" s="27" t="str">
        <f>B48&amp;"-"&amp;A48&amp;"/"&amp;G48</f>
        <v>C1S2-9/P4-TBSI3-M1(14)</v>
      </c>
      <c r="I48" s="27" t="str">
        <f>G48&amp;"/"&amp;B48&amp;"-"&amp;A48</f>
        <v>P4-TBSI3-M1(14)/C1S2-9</v>
      </c>
      <c r="J48" s="25" t="s">
        <v>126</v>
      </c>
      <c r="K48" s="25" t="s">
        <v>285</v>
      </c>
      <c r="L48" s="27" t="s">
        <v>161</v>
      </c>
      <c r="M48" s="25" t="s">
        <v>160</v>
      </c>
      <c r="N48" s="27" t="s">
        <v>32</v>
      </c>
      <c r="O48" s="25" t="s">
        <v>31</v>
      </c>
    </row>
    <row r="49" spans="1:15" s="28" customFormat="1">
      <c r="A49" s="25">
        <v>10</v>
      </c>
      <c r="B49" s="25" t="s">
        <v>284</v>
      </c>
      <c r="C49" s="26" t="s">
        <v>293</v>
      </c>
      <c r="D49" s="25" t="s">
        <v>81</v>
      </c>
      <c r="E49" s="25" t="s">
        <v>169</v>
      </c>
      <c r="F49" s="25" t="s">
        <v>59</v>
      </c>
      <c r="G49" s="25" t="str">
        <f>E49&amp;"-"&amp;F49&amp;"(14)"</f>
        <v>P4-TBSI3-M1(14)</v>
      </c>
      <c r="H49" s="27" t="str">
        <f>B49&amp;"-"&amp;A49&amp;"/"&amp;G49</f>
        <v>C1S2-10/P4-TBSI3-M1(14)</v>
      </c>
      <c r="I49" s="27" t="str">
        <f>G49&amp;"/"&amp;B49&amp;"-"&amp;A49</f>
        <v>P4-TBSI3-M1(14)/C1S2-10</v>
      </c>
      <c r="J49" s="25" t="s">
        <v>126</v>
      </c>
      <c r="K49" s="25" t="s">
        <v>285</v>
      </c>
      <c r="L49" s="27" t="s">
        <v>158</v>
      </c>
      <c r="M49" s="25" t="s">
        <v>157</v>
      </c>
      <c r="N49" s="27" t="s">
        <v>32</v>
      </c>
      <c r="O49" s="25" t="s">
        <v>31</v>
      </c>
    </row>
    <row r="50" spans="1:15" s="28" customFormat="1">
      <c r="A50" s="25">
        <v>11</v>
      </c>
      <c r="B50" s="25" t="s">
        <v>284</v>
      </c>
      <c r="C50" s="26" t="s">
        <v>293</v>
      </c>
      <c r="D50" s="25" t="s">
        <v>78</v>
      </c>
      <c r="E50" s="25" t="s">
        <v>169</v>
      </c>
      <c r="F50" s="25" t="s">
        <v>59</v>
      </c>
      <c r="G50" s="25" t="str">
        <f>E50&amp;"-"&amp;F50&amp;"(14)"</f>
        <v>P4-TBSI3-M1(14)</v>
      </c>
      <c r="H50" s="27" t="str">
        <f>B50&amp;"-"&amp;A50&amp;"/"&amp;G50</f>
        <v>C1S2-11/P4-TBSI3-M1(14)</v>
      </c>
      <c r="I50" s="27" t="str">
        <f>G50&amp;"/"&amp;B50&amp;"-"&amp;A50</f>
        <v>P4-TBSI3-M1(14)/C1S2-11</v>
      </c>
      <c r="J50" s="25" t="s">
        <v>126</v>
      </c>
      <c r="K50" s="25" t="s">
        <v>285</v>
      </c>
      <c r="L50" s="27" t="s">
        <v>155</v>
      </c>
      <c r="M50" s="25" t="s">
        <v>154</v>
      </c>
      <c r="N50" s="27" t="s">
        <v>32</v>
      </c>
      <c r="O50" s="25" t="s">
        <v>31</v>
      </c>
    </row>
    <row r="51" spans="1:15" s="28" customFormat="1">
      <c r="A51" s="25">
        <v>12</v>
      </c>
      <c r="B51" s="25" t="s">
        <v>284</v>
      </c>
      <c r="C51" s="26" t="s">
        <v>293</v>
      </c>
      <c r="D51" s="25" t="s">
        <v>75</v>
      </c>
      <c r="E51" s="25" t="s">
        <v>169</v>
      </c>
      <c r="F51" s="25" t="s">
        <v>59</v>
      </c>
      <c r="G51" s="25" t="str">
        <f>E51&amp;"-"&amp;F51&amp;"(14)"</f>
        <v>P4-TBSI3-M1(14)</v>
      </c>
      <c r="H51" s="27" t="str">
        <f>B51&amp;"-"&amp;A51&amp;"/"&amp;G51</f>
        <v>C1S2-12/P4-TBSI3-M1(14)</v>
      </c>
      <c r="I51" s="27" t="str">
        <f>G51&amp;"/"&amp;B51&amp;"-"&amp;A51</f>
        <v>P4-TBSI3-M1(14)/C1S2-12</v>
      </c>
      <c r="J51" s="25" t="s">
        <v>126</v>
      </c>
      <c r="K51" s="25" t="s">
        <v>285</v>
      </c>
      <c r="L51" s="27" t="s">
        <v>152</v>
      </c>
      <c r="M51" s="25" t="s">
        <v>151</v>
      </c>
      <c r="N51" s="27" t="s">
        <v>32</v>
      </c>
      <c r="O51" s="25" t="s">
        <v>31</v>
      </c>
    </row>
    <row r="52" spans="1:15" s="28" customFormat="1">
      <c r="A52" s="25">
        <v>13</v>
      </c>
      <c r="B52" s="25" t="s">
        <v>284</v>
      </c>
      <c r="C52" s="26" t="s">
        <v>293</v>
      </c>
      <c r="D52" s="25" t="s">
        <v>72</v>
      </c>
      <c r="E52" s="25" t="s">
        <v>169</v>
      </c>
      <c r="F52" s="25" t="s">
        <v>59</v>
      </c>
      <c r="G52" s="25" t="str">
        <f>E52&amp;"-"&amp;F52&amp;"(14)"</f>
        <v>P4-TBSI3-M1(14)</v>
      </c>
      <c r="H52" s="27" t="str">
        <f>B52&amp;"-"&amp;A52&amp;"/"&amp;G52</f>
        <v>C1S2-13/P4-TBSI3-M1(14)</v>
      </c>
      <c r="I52" s="27" t="str">
        <f>G52&amp;"/"&amp;B52&amp;"-"&amp;A52</f>
        <v>P4-TBSI3-M1(14)/C1S2-13</v>
      </c>
      <c r="J52" s="25" t="s">
        <v>126</v>
      </c>
      <c r="K52" s="25" t="s">
        <v>285</v>
      </c>
      <c r="L52" s="27" t="s">
        <v>149</v>
      </c>
      <c r="M52" s="25" t="s">
        <v>148</v>
      </c>
      <c r="N52" s="27" t="s">
        <v>32</v>
      </c>
      <c r="O52" s="25" t="s">
        <v>31</v>
      </c>
    </row>
    <row r="53" spans="1:15" s="28" customFormat="1">
      <c r="A53" s="25">
        <v>14</v>
      </c>
      <c r="B53" s="25" t="s">
        <v>284</v>
      </c>
      <c r="C53" s="26" t="s">
        <v>293</v>
      </c>
      <c r="D53" s="25" t="s">
        <v>69</v>
      </c>
      <c r="E53" s="25" t="s">
        <v>169</v>
      </c>
      <c r="F53" s="25" t="s">
        <v>59</v>
      </c>
      <c r="G53" s="25" t="str">
        <f>E53&amp;"-"&amp;F53&amp;"(14)"</f>
        <v>P4-TBSI3-M1(14)</v>
      </c>
      <c r="H53" s="27" t="str">
        <f>B53&amp;"-"&amp;A53&amp;"/"&amp;G53</f>
        <v>C1S2-14/P4-TBSI3-M1(14)</v>
      </c>
      <c r="I53" s="27" t="str">
        <f>G53&amp;"/"&amp;B53&amp;"-"&amp;A53</f>
        <v>P4-TBSI3-M1(14)/C1S2-14</v>
      </c>
      <c r="J53" s="25" t="s">
        <v>126</v>
      </c>
      <c r="K53" s="25" t="s">
        <v>285</v>
      </c>
      <c r="L53" s="27" t="s">
        <v>146</v>
      </c>
      <c r="M53" s="25" t="s">
        <v>145</v>
      </c>
      <c r="N53" s="27" t="s">
        <v>32</v>
      </c>
      <c r="O53" s="25" t="s">
        <v>31</v>
      </c>
    </row>
    <row r="54" spans="1:15" s="28" customFormat="1">
      <c r="A54" s="25">
        <v>15</v>
      </c>
      <c r="B54" s="25" t="s">
        <v>284</v>
      </c>
      <c r="C54" s="26" t="s">
        <v>293</v>
      </c>
      <c r="D54" s="25" t="s">
        <v>66</v>
      </c>
      <c r="E54" s="25" t="s">
        <v>169</v>
      </c>
      <c r="F54" s="25" t="s">
        <v>59</v>
      </c>
      <c r="G54" s="25" t="str">
        <f>E54&amp;"-"&amp;F54&amp;"(14)"</f>
        <v>P4-TBSI3-M1(14)</v>
      </c>
      <c r="H54" s="27" t="str">
        <f>B54&amp;"-"&amp;A54&amp;"/"&amp;G54</f>
        <v>C1S2-15/P4-TBSI3-M1(14)</v>
      </c>
      <c r="I54" s="27" t="str">
        <f>G54&amp;"/"&amp;B54&amp;"-"&amp;A54</f>
        <v>P4-TBSI3-M1(14)/C1S2-15</v>
      </c>
      <c r="J54" s="25" t="s">
        <v>126</v>
      </c>
      <c r="K54" s="25" t="s">
        <v>285</v>
      </c>
      <c r="L54" s="27" t="s">
        <v>143</v>
      </c>
      <c r="M54" s="25" t="s">
        <v>142</v>
      </c>
      <c r="N54" s="27" t="s">
        <v>32</v>
      </c>
      <c r="O54" s="25" t="s">
        <v>31</v>
      </c>
    </row>
    <row r="55" spans="1:15" s="28" customFormat="1">
      <c r="A55" s="25">
        <v>16</v>
      </c>
      <c r="B55" s="25" t="s">
        <v>284</v>
      </c>
      <c r="C55" s="26" t="s">
        <v>293</v>
      </c>
      <c r="D55" s="25" t="s">
        <v>63</v>
      </c>
      <c r="E55" s="25" t="s">
        <v>169</v>
      </c>
      <c r="F55" s="25" t="s">
        <v>59</v>
      </c>
      <c r="G55" s="25" t="str">
        <f>E55&amp;"-"&amp;F55&amp;"(14)"</f>
        <v>P4-TBSI3-M1(14)</v>
      </c>
      <c r="H55" s="27" t="str">
        <f>B55&amp;"-"&amp;A55&amp;"/"&amp;G55</f>
        <v>C1S2-16/P4-TBSI3-M1(14)</v>
      </c>
      <c r="I55" s="27" t="str">
        <f>G55&amp;"/"&amp;B55&amp;"-"&amp;A55</f>
        <v>P4-TBSI3-M1(14)/C1S2-16</v>
      </c>
      <c r="J55" s="25" t="s">
        <v>126</v>
      </c>
      <c r="K55" s="25" t="s">
        <v>285</v>
      </c>
      <c r="L55" s="27" t="s">
        <v>140</v>
      </c>
      <c r="M55" s="25" t="s">
        <v>139</v>
      </c>
      <c r="N55" s="27" t="s">
        <v>32</v>
      </c>
      <c r="O55" s="25" t="s">
        <v>31</v>
      </c>
    </row>
    <row r="56" spans="1:15" s="28" customFormat="1">
      <c r="A56" s="25">
        <v>19</v>
      </c>
      <c r="B56" s="25" t="s">
        <v>284</v>
      </c>
      <c r="C56" s="26" t="s">
        <v>293</v>
      </c>
      <c r="D56" s="25" t="s">
        <v>60</v>
      </c>
      <c r="E56" s="25" t="s">
        <v>168</v>
      </c>
      <c r="F56" s="25" t="s">
        <v>59</v>
      </c>
      <c r="G56" s="25" t="str">
        <f>E56&amp;"-"&amp;F56&amp;"(14)"</f>
        <v>P4-TBSI4-M1(14)</v>
      </c>
      <c r="H56" s="27" t="str">
        <f>B56&amp;"-"&amp;A56&amp;"/"&amp;G56</f>
        <v>C1S2-19/P4-TBSI4-M1(14)</v>
      </c>
      <c r="I56" s="27" t="str">
        <f>G56&amp;"/"&amp;B56&amp;"-"&amp;A56</f>
        <v>P4-TBSI4-M1(14)/C1S2-19</v>
      </c>
      <c r="J56" s="25" t="s">
        <v>126</v>
      </c>
      <c r="K56" s="25" t="s">
        <v>285</v>
      </c>
      <c r="L56" s="27" t="s">
        <v>137</v>
      </c>
      <c r="M56" s="25" t="s">
        <v>136</v>
      </c>
      <c r="N56" s="27" t="s">
        <v>32</v>
      </c>
      <c r="O56" s="25" t="s">
        <v>31</v>
      </c>
    </row>
    <row r="57" spans="1:15" s="28" customFormat="1">
      <c r="A57" s="25">
        <v>20</v>
      </c>
      <c r="B57" s="25" t="s">
        <v>284</v>
      </c>
      <c r="C57" s="26" t="s">
        <v>293</v>
      </c>
      <c r="D57" s="25" t="s">
        <v>56</v>
      </c>
      <c r="E57" s="25" t="s">
        <v>168</v>
      </c>
      <c r="F57" s="25" t="s">
        <v>55</v>
      </c>
      <c r="G57" s="25" t="str">
        <f>E57&amp;"-"&amp;F57&amp;"(14)"</f>
        <v>P4-TBSI4-M2(14)</v>
      </c>
      <c r="H57" s="27" t="str">
        <f>B57&amp;"-"&amp;A57&amp;"/"&amp;G57</f>
        <v>C1S2-20/P4-TBSI4-M2(14)</v>
      </c>
      <c r="I57" s="27" t="str">
        <f>G57&amp;"/"&amp;B57&amp;"-"&amp;A57</f>
        <v>P4-TBSI4-M2(14)/C1S2-20</v>
      </c>
      <c r="J57" s="25" t="s">
        <v>126</v>
      </c>
      <c r="K57" s="25" t="s">
        <v>285</v>
      </c>
      <c r="L57" s="27" t="s">
        <v>134</v>
      </c>
      <c r="M57" s="25" t="s">
        <v>133</v>
      </c>
      <c r="N57" s="27" t="s">
        <v>32</v>
      </c>
      <c r="O57" s="25" t="s">
        <v>31</v>
      </c>
    </row>
    <row r="58" spans="1:15" s="28" customFormat="1">
      <c r="A58" s="25">
        <v>21</v>
      </c>
      <c r="B58" s="25" t="s">
        <v>284</v>
      </c>
      <c r="C58" s="26" t="s">
        <v>293</v>
      </c>
      <c r="D58" s="25" t="s">
        <v>52</v>
      </c>
      <c r="E58" s="25" t="s">
        <v>168</v>
      </c>
      <c r="F58" s="25" t="s">
        <v>51</v>
      </c>
      <c r="G58" s="25" t="str">
        <f>E58&amp;"-"&amp;F58&amp;"(14)"</f>
        <v>P4-TBSI4-M3(14)</v>
      </c>
      <c r="H58" s="27" t="str">
        <f>B58&amp;"-"&amp;A58&amp;"/"&amp;G58</f>
        <v>C1S2-21/P4-TBSI4-M3(14)</v>
      </c>
      <c r="I58" s="27" t="str">
        <f>G58&amp;"/"&amp;B58&amp;"-"&amp;A58</f>
        <v>P4-TBSI4-M3(14)/C1S2-21</v>
      </c>
      <c r="J58" s="25" t="s">
        <v>126</v>
      </c>
      <c r="K58" s="25" t="s">
        <v>285</v>
      </c>
      <c r="L58" s="27" t="s">
        <v>131</v>
      </c>
      <c r="M58" s="25" t="s">
        <v>130</v>
      </c>
      <c r="N58" s="27" t="s">
        <v>32</v>
      </c>
      <c r="O58" s="25" t="s">
        <v>31</v>
      </c>
    </row>
    <row r="59" spans="1:15" s="28" customFormat="1">
      <c r="A59" s="25">
        <v>22</v>
      </c>
      <c r="B59" s="25" t="s">
        <v>284</v>
      </c>
      <c r="C59" s="26" t="s">
        <v>293</v>
      </c>
      <c r="D59" s="25" t="s">
        <v>48</v>
      </c>
      <c r="E59" s="25" t="s">
        <v>168</v>
      </c>
      <c r="F59" s="25" t="s">
        <v>47</v>
      </c>
      <c r="G59" s="25" t="str">
        <f>E59&amp;"-"&amp;F59&amp;"(14)"</f>
        <v>P4-TBSI4-M4(14)</v>
      </c>
      <c r="H59" s="27" t="str">
        <f>B59&amp;"-"&amp;A59&amp;"/"&amp;G59</f>
        <v>C1S2-22/P4-TBSI4-M4(14)</v>
      </c>
      <c r="I59" s="27" t="str">
        <f>G59&amp;"/"&amp;B59&amp;"-"&amp;A59</f>
        <v>P4-TBSI4-M4(14)/C1S2-22</v>
      </c>
      <c r="J59" s="25"/>
      <c r="K59" s="25"/>
      <c r="L59" s="27"/>
      <c r="M59" s="25"/>
      <c r="N59" s="27"/>
      <c r="O59" s="25"/>
    </row>
    <row r="60" spans="1:15" s="28" customFormat="1">
      <c r="A60" s="25">
        <v>23</v>
      </c>
      <c r="B60" s="25" t="s">
        <v>284</v>
      </c>
      <c r="C60" s="26" t="s">
        <v>293</v>
      </c>
      <c r="D60" s="25" t="s">
        <v>44</v>
      </c>
      <c r="E60" s="25" t="s">
        <v>168</v>
      </c>
      <c r="F60" s="25" t="s">
        <v>43</v>
      </c>
      <c r="G60" s="25" t="str">
        <f>E60&amp;"-"&amp;F60&amp;"(14)"</f>
        <v>P4-TBSI4-M5(14)</v>
      </c>
      <c r="H60" s="27" t="str">
        <f>B60&amp;"-"&amp;A60&amp;"/"&amp;G60</f>
        <v>C1S2-23/P4-TBSI4-M5(14)</v>
      </c>
      <c r="I60" s="27" t="str">
        <f>G60&amp;"/"&amp;B60&amp;"-"&amp;A60</f>
        <v>P4-TBSI4-M5(14)/C1S2-23</v>
      </c>
      <c r="J60" s="25"/>
      <c r="K60" s="25"/>
      <c r="L60" s="27"/>
      <c r="M60" s="25"/>
      <c r="N60" s="27"/>
      <c r="O60" s="25"/>
    </row>
    <row r="61" spans="1:15" s="28" customFormat="1">
      <c r="A61" s="25">
        <v>24</v>
      </c>
      <c r="B61" s="25" t="s">
        <v>284</v>
      </c>
      <c r="C61" s="26" t="s">
        <v>293</v>
      </c>
      <c r="D61" s="25" t="s">
        <v>40</v>
      </c>
      <c r="E61" s="25" t="s">
        <v>168</v>
      </c>
      <c r="F61" s="25" t="s">
        <v>39</v>
      </c>
      <c r="G61" s="25" t="str">
        <f>E61&amp;"-"&amp;F61&amp;"(14)"</f>
        <v>P4-TBSI4-M6(14)</v>
      </c>
      <c r="H61" s="27" t="str">
        <f>B61&amp;"-"&amp;A61&amp;"/"&amp;G61</f>
        <v>C1S2-24/P4-TBSI4-M6(14)</v>
      </c>
      <c r="I61" s="27" t="str">
        <f>G61&amp;"/"&amp;B61&amp;"-"&amp;A61</f>
        <v>P4-TBSI4-M6(14)/C1S2-24</v>
      </c>
      <c r="J61" s="25"/>
      <c r="K61" s="25"/>
      <c r="L61" s="27"/>
      <c r="M61" s="25"/>
      <c r="N61" s="27"/>
      <c r="O61" s="25"/>
    </row>
    <row r="62" spans="1:15" s="28" customFormat="1">
      <c r="A62" s="25">
        <v>25</v>
      </c>
      <c r="B62" s="25" t="s">
        <v>284</v>
      </c>
      <c r="C62" s="26" t="s">
        <v>293</v>
      </c>
      <c r="D62" s="25" t="s">
        <v>36</v>
      </c>
      <c r="E62" s="25" t="s">
        <v>168</v>
      </c>
      <c r="F62" s="25" t="s">
        <v>35</v>
      </c>
      <c r="G62" s="25" t="str">
        <f>E62&amp;"-"&amp;F62&amp;"(14)"</f>
        <v>P4-TBSI4-M7(14)</v>
      </c>
      <c r="H62" s="27" t="str">
        <f>B62&amp;"-"&amp;A62&amp;"/"&amp;G62</f>
        <v>C1S2-25/P4-TBSI4-M7(14)</v>
      </c>
      <c r="I62" s="27" t="str">
        <f>G62&amp;"/"&amp;B62&amp;"-"&amp;A62</f>
        <v>P4-TBSI4-M7(14)/C1S2-25</v>
      </c>
      <c r="J62" s="25"/>
      <c r="K62" s="25"/>
      <c r="L62" s="27"/>
      <c r="M62" s="25"/>
      <c r="N62" s="27"/>
      <c r="O62" s="25"/>
    </row>
    <row r="63" spans="1:15" s="28" customFormat="1">
      <c r="A63" s="25">
        <v>26</v>
      </c>
      <c r="B63" s="25" t="s">
        <v>284</v>
      </c>
      <c r="C63" s="26" t="s">
        <v>293</v>
      </c>
      <c r="D63" s="25" t="s">
        <v>30</v>
      </c>
      <c r="E63" s="25" t="s">
        <v>168</v>
      </c>
      <c r="F63" s="25" t="s">
        <v>29</v>
      </c>
      <c r="G63" s="25" t="str">
        <f>E63&amp;"-"&amp;F63&amp;"(14)"</f>
        <v>P4-TBSI4-M8(14)</v>
      </c>
      <c r="H63" s="27" t="str">
        <f>B63&amp;"-"&amp;A63&amp;"/"&amp;G63</f>
        <v>C1S2-26/P4-TBSI4-M8(14)</v>
      </c>
      <c r="I63" s="27" t="str">
        <f>G63&amp;"/"&amp;B63&amp;"-"&amp;A63</f>
        <v>P4-TBSI4-M8(14)/C1S2-26</v>
      </c>
      <c r="J63" s="25"/>
      <c r="K63" s="25"/>
      <c r="L63" s="27"/>
      <c r="M63" s="25"/>
      <c r="N63" s="27"/>
      <c r="O63" s="25"/>
    </row>
    <row r="64" spans="1:15" s="28" customFormat="1">
      <c r="A64" s="25">
        <v>27</v>
      </c>
      <c r="B64" s="25" t="s">
        <v>284</v>
      </c>
      <c r="C64" s="26" t="s">
        <v>293</v>
      </c>
      <c r="D64" s="25" t="s">
        <v>28</v>
      </c>
      <c r="E64" s="25" t="s">
        <v>168</v>
      </c>
      <c r="F64" s="25" t="s">
        <v>27</v>
      </c>
      <c r="G64" s="25" t="str">
        <f>E64&amp;"-"&amp;F64&amp;"(14)"</f>
        <v>P4-TBSI4-M9(14)</v>
      </c>
      <c r="H64" s="27" t="str">
        <f>B64&amp;"-"&amp;A64&amp;"/"&amp;G64</f>
        <v>C1S2-27/P4-TBSI4-M9(14)</v>
      </c>
      <c r="I64" s="27" t="str">
        <f>G64&amp;"/"&amp;B64&amp;"-"&amp;A64</f>
        <v>P4-TBSI4-M9(14)/C1S2-27</v>
      </c>
      <c r="J64" s="25"/>
      <c r="K64" s="25"/>
      <c r="L64" s="27"/>
      <c r="M64" s="25"/>
      <c r="N64" s="27"/>
      <c r="O64" s="25"/>
    </row>
    <row r="65" spans="1:15" s="28" customFormat="1">
      <c r="A65" s="25">
        <v>28</v>
      </c>
      <c r="B65" s="25" t="s">
        <v>284</v>
      </c>
      <c r="C65" s="26" t="s">
        <v>293</v>
      </c>
      <c r="D65" s="25" t="s">
        <v>26</v>
      </c>
      <c r="E65" s="25" t="s">
        <v>168</v>
      </c>
      <c r="F65" s="25" t="s">
        <v>25</v>
      </c>
      <c r="G65" s="25" t="str">
        <f>E65&amp;"-"&amp;F65&amp;"(14)"</f>
        <v>P4-TBSI4-M10(14)</v>
      </c>
      <c r="H65" s="27" t="str">
        <f>B65&amp;"-"&amp;A65&amp;"/"&amp;G65</f>
        <v>C1S2-28/P4-TBSI4-M10(14)</v>
      </c>
      <c r="I65" s="27" t="str">
        <f>G65&amp;"/"&amp;B65&amp;"-"&amp;A65</f>
        <v>P4-TBSI4-M10(14)/C1S2-28</v>
      </c>
      <c r="J65" s="25"/>
      <c r="K65" s="25"/>
      <c r="L65" s="27"/>
      <c r="M65" s="25"/>
      <c r="N65" s="27"/>
      <c r="O65" s="25"/>
    </row>
    <row r="66" spans="1:15" s="28" customFormat="1">
      <c r="A66" s="25">
        <v>29</v>
      </c>
      <c r="B66" s="25" t="s">
        <v>284</v>
      </c>
      <c r="C66" s="26" t="s">
        <v>293</v>
      </c>
      <c r="D66" s="25" t="s">
        <v>24</v>
      </c>
      <c r="E66" s="25" t="s">
        <v>168</v>
      </c>
      <c r="F66" s="25" t="s">
        <v>23</v>
      </c>
      <c r="G66" s="25" t="str">
        <f>E66&amp;"-"&amp;F66&amp;"(14)"</f>
        <v>P4-TBSI4-M11(14)</v>
      </c>
      <c r="H66" s="27" t="str">
        <f>B66&amp;"-"&amp;A66&amp;"/"&amp;G66</f>
        <v>C1S2-29/P4-TBSI4-M11(14)</v>
      </c>
      <c r="I66" s="27" t="str">
        <f>G66&amp;"/"&amp;B66&amp;"-"&amp;A66</f>
        <v>P4-TBSI4-M11(14)/C1S2-29</v>
      </c>
      <c r="J66" s="25"/>
      <c r="K66" s="25"/>
      <c r="L66" s="27"/>
      <c r="M66" s="25"/>
      <c r="N66" s="27"/>
      <c r="O66" s="25"/>
    </row>
    <row r="67" spans="1:15" s="28" customFormat="1">
      <c r="A67" s="25">
        <v>30</v>
      </c>
      <c r="B67" s="25" t="s">
        <v>284</v>
      </c>
      <c r="C67" s="26" t="s">
        <v>293</v>
      </c>
      <c r="D67" s="25" t="s">
        <v>22</v>
      </c>
      <c r="E67" s="25" t="s">
        <v>168</v>
      </c>
      <c r="F67" s="25" t="s">
        <v>21</v>
      </c>
      <c r="G67" s="25" t="str">
        <f>E67&amp;"-"&amp;F67&amp;"(14)"</f>
        <v>P4-TBSI4-M12(14)</v>
      </c>
      <c r="H67" s="27" t="str">
        <f>B67&amp;"-"&amp;A67&amp;"/"&amp;G67</f>
        <v>C1S2-30/P4-TBSI4-M12(14)</v>
      </c>
      <c r="I67" s="27" t="str">
        <f>G67&amp;"/"&amp;B67&amp;"-"&amp;A67</f>
        <v>P4-TBSI4-M12(14)/C1S2-30</v>
      </c>
      <c r="J67" s="25"/>
      <c r="K67" s="25"/>
      <c r="L67" s="27"/>
      <c r="M67" s="25"/>
      <c r="N67" s="27"/>
      <c r="O67" s="25"/>
    </row>
    <row r="68" spans="1:15" s="28" customFormat="1">
      <c r="A68" s="25">
        <v>31</v>
      </c>
      <c r="B68" s="25" t="s">
        <v>284</v>
      </c>
      <c r="C68" s="26" t="s">
        <v>293</v>
      </c>
      <c r="D68" s="25" t="s">
        <v>20</v>
      </c>
      <c r="E68" s="25" t="s">
        <v>168</v>
      </c>
      <c r="F68" s="25" t="s">
        <v>19</v>
      </c>
      <c r="G68" s="25" t="str">
        <f>E68&amp;"-"&amp;F68&amp;"(14)"</f>
        <v>P4-TBSI4-M13(14)</v>
      </c>
      <c r="H68" s="27" t="str">
        <f>B68&amp;"-"&amp;A68&amp;"/"&amp;G68</f>
        <v>C1S2-31/P4-TBSI4-M13(14)</v>
      </c>
      <c r="I68" s="27" t="str">
        <f>G68&amp;"/"&amp;B68&amp;"-"&amp;A68</f>
        <v>P4-TBSI4-M13(14)/C1S2-31</v>
      </c>
      <c r="J68" s="25"/>
      <c r="K68" s="25"/>
      <c r="L68" s="27"/>
      <c r="M68" s="25"/>
      <c r="N68" s="27"/>
      <c r="O68" s="25"/>
    </row>
    <row r="69" spans="1:15" s="28" customFormat="1">
      <c r="A69" s="25">
        <v>32</v>
      </c>
      <c r="B69" s="25" t="s">
        <v>284</v>
      </c>
      <c r="C69" s="26" t="s">
        <v>293</v>
      </c>
      <c r="D69" s="25" t="s">
        <v>18</v>
      </c>
      <c r="E69" s="25" t="s">
        <v>168</v>
      </c>
      <c r="F69" s="25" t="s">
        <v>17</v>
      </c>
      <c r="G69" s="25" t="str">
        <f>E69&amp;"-"&amp;F69&amp;"(14)"</f>
        <v>P4-TBSI4-M14(14)</v>
      </c>
      <c r="H69" s="27" t="str">
        <f>B69&amp;"-"&amp;A69&amp;"/"&amp;G69</f>
        <v>C1S2-32/P4-TBSI4-M14(14)</v>
      </c>
      <c r="I69" s="27" t="str">
        <f>G69&amp;"/"&amp;B69&amp;"-"&amp;A69</f>
        <v>P4-TBSI4-M14(14)/C1S2-32</v>
      </c>
      <c r="J69" s="25"/>
      <c r="K69" s="25"/>
      <c r="L69" s="27"/>
      <c r="M69" s="25"/>
      <c r="N69" s="27"/>
      <c r="O69" s="25"/>
    </row>
    <row r="70" spans="1:15" s="28" customFormat="1">
      <c r="A70" s="25">
        <v>33</v>
      </c>
      <c r="B70" s="25" t="s">
        <v>284</v>
      </c>
      <c r="C70" s="26" t="s">
        <v>293</v>
      </c>
      <c r="D70" s="25" t="s">
        <v>16</v>
      </c>
      <c r="E70" s="25" t="s">
        <v>168</v>
      </c>
      <c r="F70" s="25" t="s">
        <v>15</v>
      </c>
      <c r="G70" s="25" t="str">
        <f>E70&amp;"-"&amp;F70&amp;"(14)"</f>
        <v>P4-TBSI4-M15(14)</v>
      </c>
      <c r="H70" s="27" t="str">
        <f>B70&amp;"-"&amp;A70&amp;"/"&amp;G70</f>
        <v>C1S2-33/P4-TBSI4-M15(14)</v>
      </c>
      <c r="I70" s="27" t="str">
        <f>G70&amp;"/"&amp;B70&amp;"-"&amp;A70</f>
        <v>P4-TBSI4-M15(14)/C1S2-33</v>
      </c>
      <c r="J70" s="25"/>
      <c r="K70" s="25"/>
      <c r="L70" s="27"/>
      <c r="M70" s="25"/>
      <c r="N70" s="27"/>
      <c r="O70" s="25"/>
    </row>
    <row r="71" spans="1:15" s="28" customFormat="1">
      <c r="A71" s="25">
        <v>34</v>
      </c>
      <c r="B71" s="25" t="s">
        <v>284</v>
      </c>
      <c r="C71" s="26" t="s">
        <v>293</v>
      </c>
      <c r="D71" s="25" t="s">
        <v>14</v>
      </c>
      <c r="E71" s="25" t="s">
        <v>168</v>
      </c>
      <c r="F71" s="25" t="s">
        <v>12</v>
      </c>
      <c r="G71" s="25" t="str">
        <f>E71&amp;"-"&amp;F71&amp;"(14)"</f>
        <v>P4-TBSI4-M16(14)</v>
      </c>
      <c r="H71" s="27" t="str">
        <f>B71&amp;"-"&amp;A71&amp;"/"&amp;G71</f>
        <v>C1S2-34/P4-TBSI4-M16(14)</v>
      </c>
      <c r="I71" s="27" t="str">
        <f>G71&amp;"/"&amp;B71&amp;"-"&amp;A71</f>
        <v>P4-TBSI4-M16(14)/C1S2-34</v>
      </c>
      <c r="J71" s="25"/>
      <c r="K71" s="25"/>
      <c r="L71" s="27"/>
      <c r="M71" s="25"/>
      <c r="N71" s="27"/>
      <c r="O71" s="25"/>
    </row>
    <row r="72" spans="1:15" s="23" customFormat="1">
      <c r="A72" s="20">
        <v>1</v>
      </c>
      <c r="B72" s="21" t="s">
        <v>251</v>
      </c>
      <c r="C72" s="21" t="s">
        <v>294</v>
      </c>
      <c r="D72" s="20" t="s">
        <v>249</v>
      </c>
      <c r="E72" s="20" t="s">
        <v>165</v>
      </c>
      <c r="F72" s="20" t="s">
        <v>59</v>
      </c>
      <c r="G72" s="20" t="str">
        <f>E72&amp;"-"&amp;F72&amp;"(11)"</f>
        <v>P4-TBSI5-M1(11)</v>
      </c>
      <c r="H72" s="19" t="str">
        <f>B72&amp;"-"&amp;A72&amp;"/"&amp;G72</f>
        <v>C1S5-1/P4-TBSI5-M1(11)</v>
      </c>
      <c r="I72" s="19" t="str">
        <f>G72&amp;"/"&amp;B72&amp;"-"&amp;A72</f>
        <v>P4-TBSI5-M1(11)/C1S5-1</v>
      </c>
      <c r="J72" s="20" t="s">
        <v>4</v>
      </c>
      <c r="K72" s="20" t="s">
        <v>290</v>
      </c>
      <c r="L72" s="19" t="s">
        <v>248</v>
      </c>
      <c r="M72" s="20" t="s">
        <v>247</v>
      </c>
      <c r="N72" s="19" t="s">
        <v>224</v>
      </c>
      <c r="O72" s="22" t="s">
        <v>31</v>
      </c>
    </row>
    <row r="73" spans="1:15" s="23" customFormat="1">
      <c r="A73" s="20">
        <v>2</v>
      </c>
      <c r="B73" s="21" t="s">
        <v>251</v>
      </c>
      <c r="C73" s="21" t="s">
        <v>294</v>
      </c>
      <c r="D73" s="20" t="s">
        <v>108</v>
      </c>
      <c r="E73" s="20" t="s">
        <v>165</v>
      </c>
      <c r="F73" s="20" t="str">
        <f>F72</f>
        <v>M1</v>
      </c>
      <c r="G73" s="20" t="str">
        <f>E73&amp;"-"&amp;F73&amp;"(14)"</f>
        <v>P4-TBSI5-M1(14)</v>
      </c>
      <c r="H73" s="19" t="str">
        <f>B73&amp;"-"&amp;A73&amp;"/"&amp;G73</f>
        <v>C1S5-2/P4-TBSI5-M1(14)</v>
      </c>
      <c r="I73" s="19" t="str">
        <f>G73&amp;"/"&amp;B73&amp;"-"&amp;A73</f>
        <v>P4-TBSI5-M1(14)/C1S5-2</v>
      </c>
      <c r="J73" s="20" t="s">
        <v>4</v>
      </c>
      <c r="K73" s="20" t="s">
        <v>290</v>
      </c>
      <c r="L73" s="19" t="s">
        <v>248</v>
      </c>
      <c r="M73" s="20" t="s">
        <v>247</v>
      </c>
      <c r="N73" s="19" t="s">
        <v>224</v>
      </c>
      <c r="O73" s="22" t="s">
        <v>31</v>
      </c>
    </row>
    <row r="74" spans="1:15" s="23" customFormat="1">
      <c r="A74" s="20">
        <v>3</v>
      </c>
      <c r="B74" s="21" t="s">
        <v>251</v>
      </c>
      <c r="C74" s="21" t="s">
        <v>294</v>
      </c>
      <c r="D74" s="20" t="s">
        <v>246</v>
      </c>
      <c r="E74" s="20" t="s">
        <v>165</v>
      </c>
      <c r="F74" s="20" t="s">
        <v>55</v>
      </c>
      <c r="G74" s="20" t="str">
        <f>E74&amp;"-"&amp;F74&amp;"(11)"</f>
        <v>P4-TBSI5-M2(11)</v>
      </c>
      <c r="H74" s="19" t="str">
        <f>$B$72&amp;"-"&amp;A74&amp;"/"&amp;G74</f>
        <v>C1S5-3/P4-TBSI5-M2(11)</v>
      </c>
      <c r="I74" s="19" t="str">
        <f>G74&amp;"/"&amp;B74&amp;"-"&amp;A74</f>
        <v>P4-TBSI5-M2(11)/C1S5-3</v>
      </c>
      <c r="J74" s="20" t="s">
        <v>4</v>
      </c>
      <c r="K74" s="20" t="s">
        <v>290</v>
      </c>
      <c r="L74" s="19" t="s">
        <v>245</v>
      </c>
      <c r="M74" s="20" t="s">
        <v>244</v>
      </c>
      <c r="N74" s="19" t="s">
        <v>224</v>
      </c>
      <c r="O74" s="22" t="s">
        <v>31</v>
      </c>
    </row>
    <row r="75" spans="1:15" s="23" customFormat="1">
      <c r="A75" s="20">
        <v>4</v>
      </c>
      <c r="B75" s="21" t="s">
        <v>251</v>
      </c>
      <c r="C75" s="21" t="s">
        <v>294</v>
      </c>
      <c r="D75" s="20" t="s">
        <v>105</v>
      </c>
      <c r="E75" s="20" t="s">
        <v>165</v>
      </c>
      <c r="F75" s="20" t="str">
        <f>F74</f>
        <v>M2</v>
      </c>
      <c r="G75" s="20" t="str">
        <f>E75&amp;"-"&amp;F75&amp;"(14)"</f>
        <v>P4-TBSI5-M2(14)</v>
      </c>
      <c r="H75" s="19" t="str">
        <f>$B$72&amp;"-"&amp;A75&amp;"/"&amp;G75</f>
        <v>C1S5-4/P4-TBSI5-M2(14)</v>
      </c>
      <c r="I75" s="19" t="str">
        <f>G75&amp;"/"&amp;B75&amp;"-"&amp;A75</f>
        <v>P4-TBSI5-M2(14)/C1S5-4</v>
      </c>
      <c r="J75" s="20" t="s">
        <v>4</v>
      </c>
      <c r="K75" s="20" t="s">
        <v>290</v>
      </c>
      <c r="L75" s="19" t="s">
        <v>245</v>
      </c>
      <c r="M75" s="20" t="s">
        <v>244</v>
      </c>
      <c r="N75" s="19" t="s">
        <v>224</v>
      </c>
      <c r="O75" s="22" t="s">
        <v>31</v>
      </c>
    </row>
    <row r="76" spans="1:15" s="23" customFormat="1">
      <c r="A76" s="20">
        <v>5</v>
      </c>
      <c r="B76" s="21" t="s">
        <v>251</v>
      </c>
      <c r="C76" s="21" t="s">
        <v>294</v>
      </c>
      <c r="D76" s="20" t="s">
        <v>243</v>
      </c>
      <c r="E76" s="20" t="s">
        <v>165</v>
      </c>
      <c r="F76" s="20" t="s">
        <v>55</v>
      </c>
      <c r="G76" s="20" t="str">
        <f>E76&amp;"-"&amp;F76&amp;"(11)"</f>
        <v>P4-TBSI5-M2(11)</v>
      </c>
      <c r="H76" s="19" t="str">
        <f>$B$72&amp;"-"&amp;A76&amp;"/"&amp;G76</f>
        <v>C1S5-5/P4-TBSI5-M2(11)</v>
      </c>
      <c r="I76" s="19" t="str">
        <f>G76&amp;"/"&amp;B76&amp;"-"&amp;A76</f>
        <v>P4-TBSI5-M2(11)/C1S5-5</v>
      </c>
      <c r="J76" s="20" t="s">
        <v>4</v>
      </c>
      <c r="K76" s="20" t="s">
        <v>290</v>
      </c>
      <c r="L76" s="19" t="s">
        <v>242</v>
      </c>
      <c r="M76" s="20" t="s">
        <v>241</v>
      </c>
      <c r="N76" s="19" t="s">
        <v>210</v>
      </c>
      <c r="O76" s="22" t="s">
        <v>31</v>
      </c>
    </row>
    <row r="77" spans="1:15" s="23" customFormat="1">
      <c r="A77" s="20">
        <v>6</v>
      </c>
      <c r="B77" s="21" t="s">
        <v>251</v>
      </c>
      <c r="C77" s="21" t="s">
        <v>294</v>
      </c>
      <c r="D77" s="20" t="s">
        <v>102</v>
      </c>
      <c r="E77" s="20" t="s">
        <v>165</v>
      </c>
      <c r="F77" s="20" t="str">
        <f>F76</f>
        <v>M2</v>
      </c>
      <c r="G77" s="20" t="str">
        <f>E77&amp;"-"&amp;F77&amp;"(14)"</f>
        <v>P4-TBSI5-M2(14)</v>
      </c>
      <c r="H77" s="19" t="str">
        <f>$B$72&amp;"-"&amp;A77&amp;"/"&amp;G77</f>
        <v>C1S5-6/P4-TBSI5-M2(14)</v>
      </c>
      <c r="I77" s="19" t="str">
        <f>G77&amp;"/"&amp;B77&amp;"-"&amp;A77</f>
        <v>P4-TBSI5-M2(14)/C1S5-6</v>
      </c>
      <c r="J77" s="20" t="s">
        <v>4</v>
      </c>
      <c r="K77" s="20" t="s">
        <v>290</v>
      </c>
      <c r="L77" s="19" t="s">
        <v>242</v>
      </c>
      <c r="M77" s="20" t="s">
        <v>241</v>
      </c>
      <c r="N77" s="19" t="s">
        <v>210</v>
      </c>
      <c r="O77" s="22" t="s">
        <v>31</v>
      </c>
    </row>
    <row r="78" spans="1:15" s="23" customFormat="1">
      <c r="A78" s="20">
        <v>7</v>
      </c>
      <c r="B78" s="21" t="s">
        <v>251</v>
      </c>
      <c r="C78" s="21" t="s">
        <v>294</v>
      </c>
      <c r="D78" s="20" t="s">
        <v>240</v>
      </c>
      <c r="E78" s="20" t="s">
        <v>165</v>
      </c>
      <c r="F78" s="20" t="s">
        <v>51</v>
      </c>
      <c r="G78" s="20" t="str">
        <f>E78&amp;"-"&amp;F78&amp;"(11)"</f>
        <v>P4-TBSI5-M3(11)</v>
      </c>
      <c r="H78" s="19" t="str">
        <f>$B$72&amp;"-"&amp;A78&amp;"/"&amp;G78</f>
        <v>C1S5-7/P4-TBSI5-M3(11)</v>
      </c>
      <c r="I78" s="19" t="str">
        <f>G78&amp;"/"&amp;B78&amp;"-"&amp;A78</f>
        <v>P4-TBSI5-M3(11)/C1S5-7</v>
      </c>
      <c r="J78" s="20" t="s">
        <v>4</v>
      </c>
      <c r="K78" s="20" t="s">
        <v>290</v>
      </c>
      <c r="L78" s="19" t="s">
        <v>239</v>
      </c>
      <c r="M78" s="20" t="s">
        <v>238</v>
      </c>
      <c r="N78" s="19" t="s">
        <v>210</v>
      </c>
      <c r="O78" s="22" t="s">
        <v>31</v>
      </c>
    </row>
    <row r="79" spans="1:15" s="23" customFormat="1">
      <c r="A79" s="20">
        <v>8</v>
      </c>
      <c r="B79" s="21" t="s">
        <v>251</v>
      </c>
      <c r="C79" s="21" t="s">
        <v>294</v>
      </c>
      <c r="D79" s="20" t="s">
        <v>99</v>
      </c>
      <c r="E79" s="20" t="s">
        <v>165</v>
      </c>
      <c r="F79" s="20" t="str">
        <f>F78</f>
        <v>M3</v>
      </c>
      <c r="G79" s="20" t="str">
        <f>E79&amp;"-"&amp;F79&amp;"(14)"</f>
        <v>P4-TBSI5-M3(14)</v>
      </c>
      <c r="H79" s="19" t="str">
        <f>$B$72&amp;"-"&amp;A79&amp;"/"&amp;G79</f>
        <v>C1S5-8/P4-TBSI5-M3(14)</v>
      </c>
      <c r="I79" s="19" t="str">
        <f>G79&amp;"/"&amp;B79&amp;"-"&amp;A79</f>
        <v>P4-TBSI5-M3(14)/C1S5-8</v>
      </c>
      <c r="J79" s="20" t="s">
        <v>4</v>
      </c>
      <c r="K79" s="20" t="s">
        <v>290</v>
      </c>
      <c r="L79" s="19" t="s">
        <v>239</v>
      </c>
      <c r="M79" s="20" t="s">
        <v>238</v>
      </c>
      <c r="N79" s="19" t="s">
        <v>210</v>
      </c>
      <c r="O79" s="22" t="s">
        <v>31</v>
      </c>
    </row>
    <row r="80" spans="1:15" s="23" customFormat="1">
      <c r="A80" s="20">
        <v>11</v>
      </c>
      <c r="B80" s="21" t="s">
        <v>251</v>
      </c>
      <c r="C80" s="21" t="s">
        <v>294</v>
      </c>
      <c r="D80" s="20" t="s">
        <v>237</v>
      </c>
      <c r="E80" s="20" t="s">
        <v>165</v>
      </c>
      <c r="F80" s="20" t="s">
        <v>43</v>
      </c>
      <c r="G80" s="20" t="str">
        <f>E80&amp;"-"&amp;F80&amp;"(11)"</f>
        <v>P4-TBSI5-M5(11)</v>
      </c>
      <c r="H80" s="19" t="str">
        <f>$B$72&amp;"-"&amp;A80&amp;"/"&amp;G80</f>
        <v>C1S5-11/P4-TBSI5-M5(11)</v>
      </c>
      <c r="I80" s="19" t="str">
        <f>G80&amp;"/"&amp;B80&amp;"-"&amp;A80</f>
        <v>P4-TBSI5-M5(11)/C1S5-11</v>
      </c>
      <c r="J80" s="20" t="s">
        <v>4</v>
      </c>
      <c r="K80" s="20" t="s">
        <v>290</v>
      </c>
      <c r="L80" s="19" t="s">
        <v>236</v>
      </c>
      <c r="M80" s="20" t="s">
        <v>235</v>
      </c>
      <c r="N80" s="19" t="s">
        <v>210</v>
      </c>
      <c r="O80" s="22" t="s">
        <v>31</v>
      </c>
    </row>
    <row r="81" spans="1:15" s="23" customFormat="1">
      <c r="A81" s="20">
        <v>12</v>
      </c>
      <c r="B81" s="21" t="s">
        <v>251</v>
      </c>
      <c r="C81" s="21" t="s">
        <v>294</v>
      </c>
      <c r="D81" s="20" t="s">
        <v>96</v>
      </c>
      <c r="E81" s="20" t="s">
        <v>165</v>
      </c>
      <c r="F81" s="20" t="str">
        <f>F80</f>
        <v>M5</v>
      </c>
      <c r="G81" s="20" t="str">
        <f>E81&amp;"-"&amp;F81&amp;"(14)"</f>
        <v>P4-TBSI5-M5(14)</v>
      </c>
      <c r="H81" s="19" t="str">
        <f>$B$72&amp;"-"&amp;A81&amp;"/"&amp;G81</f>
        <v>C1S5-12/P4-TBSI5-M5(14)</v>
      </c>
      <c r="I81" s="19" t="str">
        <f>G81&amp;"/"&amp;B81&amp;"-"&amp;A81</f>
        <v>P4-TBSI5-M5(14)/C1S5-12</v>
      </c>
      <c r="J81" s="20" t="s">
        <v>4</v>
      </c>
      <c r="K81" s="20" t="s">
        <v>290</v>
      </c>
      <c r="L81" s="19" t="s">
        <v>236</v>
      </c>
      <c r="M81" s="20" t="s">
        <v>235</v>
      </c>
      <c r="N81" s="19" t="s">
        <v>210</v>
      </c>
      <c r="O81" s="22" t="s">
        <v>31</v>
      </c>
    </row>
    <row r="82" spans="1:15" s="23" customFormat="1">
      <c r="A82" s="20">
        <v>13</v>
      </c>
      <c r="B82" s="21" t="s">
        <v>251</v>
      </c>
      <c r="C82" s="21" t="s">
        <v>294</v>
      </c>
      <c r="D82" s="20" t="s">
        <v>234</v>
      </c>
      <c r="E82" s="20" t="s">
        <v>165</v>
      </c>
      <c r="F82" s="20" t="s">
        <v>39</v>
      </c>
      <c r="G82" s="20" t="str">
        <f>E82&amp;"-"&amp;F82&amp;"(11)"</f>
        <v>P4-TBSI5-M6(11)</v>
      </c>
      <c r="H82" s="19" t="str">
        <f>$B$72&amp;"-"&amp;A82&amp;"/"&amp;G82</f>
        <v>C1S5-13/P4-TBSI5-M6(11)</v>
      </c>
      <c r="I82" s="19" t="str">
        <f>G82&amp;"/"&amp;B82&amp;"-"&amp;A82</f>
        <v>P4-TBSI5-M6(11)/C1S5-13</v>
      </c>
      <c r="J82" s="20" t="s">
        <v>4</v>
      </c>
      <c r="K82" s="20" t="s">
        <v>290</v>
      </c>
      <c r="L82" s="19" t="s">
        <v>233</v>
      </c>
      <c r="M82" s="20" t="s">
        <v>232</v>
      </c>
      <c r="N82" s="19" t="s">
        <v>210</v>
      </c>
      <c r="O82" s="22" t="s">
        <v>31</v>
      </c>
    </row>
    <row r="83" spans="1:15" s="23" customFormat="1">
      <c r="A83" s="20">
        <v>14</v>
      </c>
      <c r="B83" s="21" t="s">
        <v>251</v>
      </c>
      <c r="C83" s="21" t="s">
        <v>294</v>
      </c>
      <c r="D83" s="20" t="s">
        <v>93</v>
      </c>
      <c r="E83" s="20" t="s">
        <v>165</v>
      </c>
      <c r="F83" s="20" t="str">
        <f>F82</f>
        <v>M6</v>
      </c>
      <c r="G83" s="20" t="str">
        <f>E83&amp;"-"&amp;F83&amp;"(14)"</f>
        <v>P4-TBSI5-M6(14)</v>
      </c>
      <c r="H83" s="19" t="str">
        <f>$B$72&amp;"-"&amp;A83&amp;"/"&amp;G83</f>
        <v>C1S5-14/P4-TBSI5-M6(14)</v>
      </c>
      <c r="I83" s="19" t="str">
        <f>G83&amp;"/"&amp;B83&amp;"-"&amp;A83</f>
        <v>P4-TBSI5-M6(14)/C1S5-14</v>
      </c>
      <c r="J83" s="20" t="s">
        <v>4</v>
      </c>
      <c r="K83" s="20" t="s">
        <v>290</v>
      </c>
      <c r="L83" s="19" t="s">
        <v>233</v>
      </c>
      <c r="M83" s="20" t="s">
        <v>232</v>
      </c>
      <c r="N83" s="19" t="s">
        <v>210</v>
      </c>
      <c r="O83" s="22" t="s">
        <v>31</v>
      </c>
    </row>
    <row r="84" spans="1:15" s="23" customFormat="1">
      <c r="A84" s="20">
        <v>15</v>
      </c>
      <c r="B84" s="21" t="s">
        <v>251</v>
      </c>
      <c r="C84" s="21" t="s">
        <v>294</v>
      </c>
      <c r="D84" s="20" t="s">
        <v>231</v>
      </c>
      <c r="E84" s="20" t="s">
        <v>165</v>
      </c>
      <c r="F84" s="20" t="s">
        <v>35</v>
      </c>
      <c r="G84" s="20" t="str">
        <f>E84&amp;"-"&amp;F84&amp;"(11)"</f>
        <v>P4-TBSI5-M7(11)</v>
      </c>
      <c r="H84" s="19" t="str">
        <f>$B$72&amp;"-"&amp;A84&amp;"/"&amp;G84</f>
        <v>C1S5-15/P4-TBSI5-M7(11)</v>
      </c>
      <c r="I84" s="19" t="str">
        <f>G84&amp;"/"&amp;B84&amp;"-"&amp;A84</f>
        <v>P4-TBSI5-M7(11)/C1S5-15</v>
      </c>
      <c r="J84" s="20" t="s">
        <v>4</v>
      </c>
      <c r="K84" s="20" t="s">
        <v>290</v>
      </c>
      <c r="L84" s="19" t="s">
        <v>230</v>
      </c>
      <c r="M84" s="20" t="s">
        <v>229</v>
      </c>
      <c r="N84" s="19" t="s">
        <v>210</v>
      </c>
      <c r="O84" s="22" t="s">
        <v>31</v>
      </c>
    </row>
    <row r="85" spans="1:15" s="23" customFormat="1">
      <c r="A85" s="20">
        <v>16</v>
      </c>
      <c r="B85" s="21" t="s">
        <v>251</v>
      </c>
      <c r="C85" s="21" t="s">
        <v>294</v>
      </c>
      <c r="D85" s="20" t="s">
        <v>90</v>
      </c>
      <c r="E85" s="20" t="s">
        <v>165</v>
      </c>
      <c r="F85" s="20" t="str">
        <f>F84</f>
        <v>M7</v>
      </c>
      <c r="G85" s="20" t="str">
        <f>E85&amp;"-"&amp;F85&amp;"(14)"</f>
        <v>P4-TBSI5-M7(14)</v>
      </c>
      <c r="H85" s="19" t="str">
        <f>$B$72&amp;"-"&amp;A85&amp;"/"&amp;G85</f>
        <v>C1S5-16/P4-TBSI5-M7(14)</v>
      </c>
      <c r="I85" s="19" t="str">
        <f>G85&amp;"/"&amp;B85&amp;"-"&amp;A85</f>
        <v>P4-TBSI5-M7(14)/C1S5-16</v>
      </c>
      <c r="J85" s="20" t="s">
        <v>4</v>
      </c>
      <c r="K85" s="20" t="s">
        <v>290</v>
      </c>
      <c r="L85" s="19" t="s">
        <v>230</v>
      </c>
      <c r="M85" s="20" t="s">
        <v>229</v>
      </c>
      <c r="N85" s="19" t="s">
        <v>210</v>
      </c>
      <c r="O85" s="22" t="s">
        <v>31</v>
      </c>
    </row>
    <row r="86" spans="1:15" s="23" customFormat="1">
      <c r="A86" s="20">
        <v>17</v>
      </c>
      <c r="B86" s="21" t="s">
        <v>251</v>
      </c>
      <c r="C86" s="21" t="s">
        <v>294</v>
      </c>
      <c r="D86" s="20" t="s">
        <v>228</v>
      </c>
      <c r="E86" s="20" t="s">
        <v>165</v>
      </c>
      <c r="F86" s="20" t="s">
        <v>29</v>
      </c>
      <c r="G86" s="20" t="str">
        <f>E86&amp;"-"&amp;F86&amp;"(11)"</f>
        <v>P4-TBSI5-M8(11)</v>
      </c>
      <c r="H86" s="19" t="str">
        <f>$B$72&amp;"-"&amp;A86&amp;"/"&amp;G86</f>
        <v>C1S5-17/P4-TBSI5-M8(11)</v>
      </c>
      <c r="I86" s="19" t="str">
        <f>G86&amp;"/"&amp;B86&amp;"-"&amp;A86</f>
        <v>P4-TBSI5-M8(11)/C1S5-17</v>
      </c>
      <c r="J86" s="20" t="s">
        <v>11</v>
      </c>
      <c r="K86" s="20"/>
      <c r="L86" s="19" t="s">
        <v>226</v>
      </c>
      <c r="M86" s="20" t="s">
        <v>225</v>
      </c>
      <c r="N86" s="19" t="s">
        <v>224</v>
      </c>
      <c r="O86" s="22" t="s">
        <v>31</v>
      </c>
    </row>
    <row r="87" spans="1:15" s="23" customFormat="1">
      <c r="A87" s="20">
        <v>18</v>
      </c>
      <c r="B87" s="21" t="s">
        <v>251</v>
      </c>
      <c r="C87" s="21" t="s">
        <v>294</v>
      </c>
      <c r="D87" s="20" t="s">
        <v>87</v>
      </c>
      <c r="E87" s="20" t="s">
        <v>165</v>
      </c>
      <c r="F87" s="20" t="str">
        <f>F86</f>
        <v>M8</v>
      </c>
      <c r="G87" s="20" t="str">
        <f>E87&amp;"-"&amp;F87&amp;"(14)"</f>
        <v>P4-TBSI5-M8(14)</v>
      </c>
      <c r="H87" s="19" t="str">
        <f>$B$72&amp;"-"&amp;A87&amp;"/"&amp;G87</f>
        <v>C1S5-18/P4-TBSI5-M8(14)</v>
      </c>
      <c r="I87" s="19" t="str">
        <f>G87&amp;"/"&amp;B87&amp;"-"&amp;A87</f>
        <v>P4-TBSI5-M8(14)/C1S5-18</v>
      </c>
      <c r="J87" s="20" t="s">
        <v>11</v>
      </c>
      <c r="K87" s="20"/>
      <c r="L87" s="19" t="s">
        <v>226</v>
      </c>
      <c r="M87" s="20" t="s">
        <v>225</v>
      </c>
      <c r="N87" s="19" t="s">
        <v>224</v>
      </c>
      <c r="O87" s="22" t="s">
        <v>31</v>
      </c>
    </row>
    <row r="88" spans="1:15" s="23" customFormat="1">
      <c r="A88" s="20">
        <v>19</v>
      </c>
      <c r="B88" s="21" t="s">
        <v>251</v>
      </c>
      <c r="C88" s="21" t="s">
        <v>294</v>
      </c>
      <c r="D88" s="20" t="s">
        <v>227</v>
      </c>
      <c r="E88" s="20" t="s">
        <v>165</v>
      </c>
      <c r="F88" s="20" t="s">
        <v>27</v>
      </c>
      <c r="G88" s="20" t="str">
        <f>E88&amp;"-"&amp;F88&amp;"(11)"</f>
        <v>P4-TBSI5-M9(11)</v>
      </c>
      <c r="H88" s="19" t="str">
        <f>$B$72&amp;"-"&amp;A88&amp;"/"&amp;G88</f>
        <v>C1S5-19/P4-TBSI5-M9(11)</v>
      </c>
      <c r="I88" s="19" t="str">
        <f>G88&amp;"/"&amp;B88&amp;"-"&amp;A88</f>
        <v>P4-TBSI5-M9(11)/C1S5-19</v>
      </c>
      <c r="J88" s="20" t="s">
        <v>11</v>
      </c>
      <c r="K88" s="20"/>
      <c r="L88" s="19" t="s">
        <v>222</v>
      </c>
      <c r="M88" s="20" t="s">
        <v>221</v>
      </c>
      <c r="N88" s="19" t="s">
        <v>210</v>
      </c>
      <c r="O88" s="24" t="s">
        <v>31</v>
      </c>
    </row>
    <row r="89" spans="1:15" s="23" customFormat="1">
      <c r="A89" s="20">
        <v>20</v>
      </c>
      <c r="B89" s="21" t="s">
        <v>251</v>
      </c>
      <c r="C89" s="21" t="s">
        <v>294</v>
      </c>
      <c r="D89" s="20" t="s">
        <v>84</v>
      </c>
      <c r="E89" s="20" t="s">
        <v>165</v>
      </c>
      <c r="F89" s="20" t="str">
        <f>F88</f>
        <v>M9</v>
      </c>
      <c r="G89" s="20" t="str">
        <f>E89&amp;"-"&amp;F89&amp;"(14)"</f>
        <v>P4-TBSI5-M9(14)</v>
      </c>
      <c r="H89" s="19" t="str">
        <f>$B$72&amp;"-"&amp;A89&amp;"/"&amp;G89</f>
        <v>C1S5-20/P4-TBSI5-M9(14)</v>
      </c>
      <c r="I89" s="19" t="str">
        <f>G89&amp;"/"&amp;B89&amp;"-"&amp;A89</f>
        <v>P4-TBSI5-M9(14)/C1S5-20</v>
      </c>
      <c r="J89" s="20" t="s">
        <v>11</v>
      </c>
      <c r="K89" s="20"/>
      <c r="L89" s="19" t="s">
        <v>222</v>
      </c>
      <c r="M89" s="20" t="s">
        <v>221</v>
      </c>
      <c r="N89" s="19" t="s">
        <v>210</v>
      </c>
      <c r="O89" s="24" t="s">
        <v>31</v>
      </c>
    </row>
    <row r="90" spans="1:15" s="23" customFormat="1">
      <c r="A90" s="20">
        <v>21</v>
      </c>
      <c r="B90" s="21" t="s">
        <v>251</v>
      </c>
      <c r="C90" s="21" t="s">
        <v>294</v>
      </c>
      <c r="D90" s="20" t="s">
        <v>223</v>
      </c>
      <c r="E90" s="20" t="s">
        <v>165</v>
      </c>
      <c r="F90" s="20" t="s">
        <v>25</v>
      </c>
      <c r="G90" s="20" t="str">
        <f>E90&amp;"-"&amp;F90&amp;"(11)"</f>
        <v>P4-TBSI5-M10(11)</v>
      </c>
      <c r="H90" s="19" t="str">
        <f>$B$72&amp;"-"&amp;A90&amp;"/"&amp;G90</f>
        <v>C1S5-21/P4-TBSI5-M10(11)</v>
      </c>
      <c r="I90" s="19" t="str">
        <f>G90&amp;"/"&amp;B90&amp;"-"&amp;A90</f>
        <v>P4-TBSI5-M10(11)/C1S5-21</v>
      </c>
      <c r="J90" s="20" t="s">
        <v>11</v>
      </c>
      <c r="K90" s="20"/>
      <c r="L90" s="19" t="s">
        <v>219</v>
      </c>
      <c r="M90" s="20" t="s">
        <v>218</v>
      </c>
      <c r="N90" s="19" t="s">
        <v>210</v>
      </c>
      <c r="O90" s="24" t="s">
        <v>31</v>
      </c>
    </row>
    <row r="91" spans="1:15" s="23" customFormat="1">
      <c r="A91" s="20">
        <v>22</v>
      </c>
      <c r="B91" s="21" t="s">
        <v>251</v>
      </c>
      <c r="C91" s="21" t="s">
        <v>294</v>
      </c>
      <c r="D91" s="20" t="s">
        <v>81</v>
      </c>
      <c r="E91" s="20" t="s">
        <v>165</v>
      </c>
      <c r="F91" s="20" t="str">
        <f>F90</f>
        <v>M10</v>
      </c>
      <c r="G91" s="20" t="str">
        <f>E91&amp;"-"&amp;F91&amp;"(14)"</f>
        <v>P4-TBSI5-M10(14)</v>
      </c>
      <c r="H91" s="19" t="str">
        <f>$B$72&amp;"-"&amp;A91&amp;"/"&amp;G91</f>
        <v>C1S5-22/P4-TBSI5-M10(14)</v>
      </c>
      <c r="I91" s="19" t="str">
        <f>G91&amp;"/"&amp;B91&amp;"-"&amp;A91</f>
        <v>P4-TBSI5-M10(14)/C1S5-22</v>
      </c>
      <c r="J91" s="20" t="s">
        <v>11</v>
      </c>
      <c r="K91" s="20"/>
      <c r="L91" s="19" t="s">
        <v>219</v>
      </c>
      <c r="M91" s="20" t="s">
        <v>218</v>
      </c>
      <c r="N91" s="19" t="s">
        <v>210</v>
      </c>
      <c r="O91" s="24" t="s">
        <v>31</v>
      </c>
    </row>
    <row r="92" spans="1:15" s="23" customFormat="1">
      <c r="A92" s="20">
        <v>23</v>
      </c>
      <c r="B92" s="21" t="s">
        <v>251</v>
      </c>
      <c r="C92" s="21" t="s">
        <v>294</v>
      </c>
      <c r="D92" s="20" t="s">
        <v>220</v>
      </c>
      <c r="E92" s="20" t="s">
        <v>165</v>
      </c>
      <c r="F92" s="20" t="s">
        <v>23</v>
      </c>
      <c r="G92" s="20" t="str">
        <f>E92&amp;"-"&amp;F92&amp;"(11)"</f>
        <v>P4-TBSI5-M11(11)</v>
      </c>
      <c r="H92" s="19" t="str">
        <f>$B$72&amp;"-"&amp;A92&amp;"/"&amp;G92</f>
        <v>C1S5-23/P4-TBSI5-M11(11)</v>
      </c>
      <c r="I92" s="19" t="str">
        <f>G92&amp;"/"&amp;B92&amp;"-"&amp;A92</f>
        <v>P4-TBSI5-M11(11)/C1S5-23</v>
      </c>
      <c r="J92" s="20" t="s">
        <v>11</v>
      </c>
      <c r="K92" s="20"/>
      <c r="L92" s="19" t="s">
        <v>216</v>
      </c>
      <c r="M92" s="20" t="s">
        <v>215</v>
      </c>
      <c r="N92" s="19" t="s">
        <v>210</v>
      </c>
      <c r="O92" s="24" t="s">
        <v>31</v>
      </c>
    </row>
    <row r="93" spans="1:15" s="23" customFormat="1">
      <c r="A93" s="20">
        <v>24</v>
      </c>
      <c r="B93" s="21" t="s">
        <v>251</v>
      </c>
      <c r="C93" s="21" t="s">
        <v>294</v>
      </c>
      <c r="D93" s="20" t="s">
        <v>78</v>
      </c>
      <c r="E93" s="20" t="s">
        <v>165</v>
      </c>
      <c r="F93" s="20" t="str">
        <f>F92</f>
        <v>M11</v>
      </c>
      <c r="G93" s="20" t="str">
        <f>E93&amp;"-"&amp;F93&amp;"(14)"</f>
        <v>P4-TBSI5-M11(14)</v>
      </c>
      <c r="H93" s="19" t="str">
        <f>$B$72&amp;"-"&amp;A93&amp;"/"&amp;G93</f>
        <v>C1S5-24/P4-TBSI5-M11(14)</v>
      </c>
      <c r="I93" s="19" t="str">
        <f>G93&amp;"/"&amp;B93&amp;"-"&amp;A93</f>
        <v>P4-TBSI5-M11(14)/C1S5-24</v>
      </c>
      <c r="J93" s="20" t="s">
        <v>11</v>
      </c>
      <c r="K93" s="20"/>
      <c r="L93" s="19" t="s">
        <v>216</v>
      </c>
      <c r="M93" s="20" t="s">
        <v>215</v>
      </c>
      <c r="N93" s="19" t="s">
        <v>210</v>
      </c>
      <c r="O93" s="24" t="s">
        <v>31</v>
      </c>
    </row>
    <row r="94" spans="1:15" s="23" customFormat="1">
      <c r="A94" s="20">
        <v>25</v>
      </c>
      <c r="B94" s="21" t="s">
        <v>251</v>
      </c>
      <c r="C94" s="21" t="s">
        <v>294</v>
      </c>
      <c r="D94" s="20" t="s">
        <v>217</v>
      </c>
      <c r="E94" s="20" t="s">
        <v>165</v>
      </c>
      <c r="F94" s="20" t="s">
        <v>21</v>
      </c>
      <c r="G94" s="20" t="str">
        <f>E94&amp;"-"&amp;F94&amp;"(11)"</f>
        <v>P4-TBSI5-M12(11)</v>
      </c>
      <c r="H94" s="19" t="str">
        <f>$B$72&amp;"-"&amp;A94&amp;"/"&amp;G94</f>
        <v>C1S5-25/P4-TBSI5-M12(11)</v>
      </c>
      <c r="I94" s="19" t="str">
        <f>G94&amp;"/"&amp;B94&amp;"-"&amp;A94</f>
        <v>P4-TBSI5-M12(11)/C1S5-25</v>
      </c>
      <c r="J94" s="20" t="s">
        <v>11</v>
      </c>
      <c r="K94" s="20"/>
      <c r="L94" s="19" t="s">
        <v>212</v>
      </c>
      <c r="M94" s="20" t="s">
        <v>211</v>
      </c>
      <c r="N94" s="19" t="s">
        <v>210</v>
      </c>
      <c r="O94" s="24" t="s">
        <v>31</v>
      </c>
    </row>
    <row r="95" spans="1:15" s="23" customFormat="1">
      <c r="A95" s="20">
        <v>26</v>
      </c>
      <c r="B95" s="21" t="s">
        <v>251</v>
      </c>
      <c r="C95" s="21" t="s">
        <v>294</v>
      </c>
      <c r="D95" s="20" t="s">
        <v>75</v>
      </c>
      <c r="E95" s="20" t="s">
        <v>165</v>
      </c>
      <c r="F95" s="20" t="str">
        <f>F94</f>
        <v>M12</v>
      </c>
      <c r="G95" s="20" t="str">
        <f>E95&amp;"-"&amp;F95&amp;"(14)"</f>
        <v>P4-TBSI5-M12(14)</v>
      </c>
      <c r="H95" s="19" t="str">
        <f>$B$72&amp;"-"&amp;A95&amp;"/"&amp;G95</f>
        <v>C1S5-26/P4-TBSI5-M12(14)</v>
      </c>
      <c r="I95" s="19" t="str">
        <f>G95&amp;"/"&amp;B95&amp;"-"&amp;A95</f>
        <v>P4-TBSI5-M12(14)/C1S5-26</v>
      </c>
      <c r="J95" s="20" t="s">
        <v>11</v>
      </c>
      <c r="K95" s="20"/>
      <c r="L95" s="19" t="s">
        <v>212</v>
      </c>
      <c r="M95" s="20" t="s">
        <v>211</v>
      </c>
      <c r="N95" s="19" t="s">
        <v>210</v>
      </c>
      <c r="O95" s="24" t="s">
        <v>31</v>
      </c>
    </row>
    <row r="96" spans="1:15" s="23" customFormat="1">
      <c r="A96" s="20">
        <v>29</v>
      </c>
      <c r="B96" s="21" t="s">
        <v>251</v>
      </c>
      <c r="C96" s="21" t="s">
        <v>294</v>
      </c>
      <c r="D96" s="20" t="s">
        <v>213</v>
      </c>
      <c r="E96" s="20" t="s">
        <v>165</v>
      </c>
      <c r="F96" s="20" t="s">
        <v>19</v>
      </c>
      <c r="G96" s="20" t="str">
        <f>E96&amp;"-"&amp;F96&amp;"(11)"</f>
        <v>P4-TBSI5-M13(11)</v>
      </c>
      <c r="H96" s="19" t="str">
        <f>$B$72&amp;"-"&amp;A96&amp;"/"&amp;G96</f>
        <v>C1S5-29/P4-TBSI5-M13(11)</v>
      </c>
      <c r="I96" s="19" t="str">
        <f>G96&amp;"/"&amp;B96&amp;"-"&amp;A96</f>
        <v>P4-TBSI5-M13(11)/C1S5-29</v>
      </c>
      <c r="J96" s="20" t="s">
        <v>11</v>
      </c>
      <c r="K96" s="20"/>
      <c r="L96" s="19" t="s">
        <v>208</v>
      </c>
      <c r="M96" s="20" t="s">
        <v>207</v>
      </c>
      <c r="N96" s="19" t="s">
        <v>206</v>
      </c>
      <c r="O96" s="24" t="s">
        <v>31</v>
      </c>
    </row>
    <row r="97" spans="1:15" s="23" customFormat="1">
      <c r="A97" s="20">
        <v>30</v>
      </c>
      <c r="B97" s="21" t="s">
        <v>251</v>
      </c>
      <c r="C97" s="21" t="s">
        <v>294</v>
      </c>
      <c r="D97" s="20" t="s">
        <v>72</v>
      </c>
      <c r="E97" s="20" t="s">
        <v>165</v>
      </c>
      <c r="F97" s="20" t="str">
        <f>F96</f>
        <v>M13</v>
      </c>
      <c r="G97" s="20" t="str">
        <f>E97&amp;"-"&amp;F97&amp;"(14)"</f>
        <v>P4-TBSI5-M13(14)</v>
      </c>
      <c r="H97" s="19" t="str">
        <f>$A$4&amp;"-"&amp;A97&amp;"/"&amp;G97</f>
        <v>C1S5-30/P4-TBSI5-M13(14)</v>
      </c>
      <c r="I97" s="19" t="str">
        <f>G97&amp;"/"&amp;B97&amp;"-"&amp;A97</f>
        <v>P4-TBSI5-M13(14)/C1S5-30</v>
      </c>
      <c r="J97" s="20" t="s">
        <v>11</v>
      </c>
      <c r="K97" s="20"/>
      <c r="L97" s="19" t="s">
        <v>208</v>
      </c>
      <c r="M97" s="20" t="s">
        <v>207</v>
      </c>
      <c r="N97" s="19" t="s">
        <v>206</v>
      </c>
      <c r="O97" s="24" t="s">
        <v>31</v>
      </c>
    </row>
    <row r="98" spans="1:15" s="23" customFormat="1">
      <c r="A98" s="20">
        <v>31</v>
      </c>
      <c r="B98" s="21" t="s">
        <v>251</v>
      </c>
      <c r="C98" s="21" t="s">
        <v>294</v>
      </c>
      <c r="D98" s="20" t="s">
        <v>209</v>
      </c>
      <c r="E98" s="20" t="s">
        <v>165</v>
      </c>
      <c r="F98" s="20" t="s">
        <v>17</v>
      </c>
      <c r="G98" s="20" t="str">
        <f>E98&amp;"-"&amp;F98&amp;"(11)"</f>
        <v>P4-TBSI5-M14(11)</v>
      </c>
      <c r="H98" s="19" t="str">
        <f>$A$4&amp;"-"&amp;A98&amp;"/"&amp;G98</f>
        <v>C1S5-31/P4-TBSI5-M14(11)</v>
      </c>
      <c r="I98" s="19" t="str">
        <f>G98&amp;"/"&amp;B98&amp;"-"&amp;A98</f>
        <v>P4-TBSI5-M14(11)/C1S5-31</v>
      </c>
      <c r="J98" s="20" t="s">
        <v>125</v>
      </c>
      <c r="K98" s="20"/>
      <c r="L98" s="19" t="s">
        <v>279</v>
      </c>
      <c r="M98" s="20" t="s">
        <v>278</v>
      </c>
      <c r="N98" s="19" t="s">
        <v>270</v>
      </c>
      <c r="O98" s="22" t="s">
        <v>31</v>
      </c>
    </row>
    <row r="99" spans="1:15" s="23" customFormat="1">
      <c r="A99" s="20">
        <v>32</v>
      </c>
      <c r="B99" s="21" t="s">
        <v>251</v>
      </c>
      <c r="C99" s="21" t="s">
        <v>294</v>
      </c>
      <c r="D99" s="20" t="s">
        <v>69</v>
      </c>
      <c r="E99" s="20" t="s">
        <v>165</v>
      </c>
      <c r="F99" s="20" t="str">
        <f>F98</f>
        <v>M14</v>
      </c>
      <c r="G99" s="20" t="str">
        <f>E99&amp;"-"&amp;F99&amp;"(14)"</f>
        <v>P4-TBSI5-M14(14)</v>
      </c>
      <c r="H99" s="19" t="str">
        <f>$A$4&amp;"-"&amp;A99&amp;"/"&amp;G99</f>
        <v>C1S5-32/P4-TBSI5-M14(14)</v>
      </c>
      <c r="I99" s="19" t="str">
        <f>G99&amp;"/"&amp;B99&amp;"-"&amp;A99</f>
        <v>P4-TBSI5-M14(14)/C1S5-32</v>
      </c>
      <c r="J99" s="20" t="s">
        <v>125</v>
      </c>
      <c r="K99" s="20"/>
      <c r="L99" s="19" t="s">
        <v>279</v>
      </c>
      <c r="M99" s="20" t="s">
        <v>278</v>
      </c>
      <c r="N99" s="19" t="s">
        <v>270</v>
      </c>
      <c r="O99" s="22" t="s">
        <v>31</v>
      </c>
    </row>
    <row r="100" spans="1:15" s="23" customFormat="1">
      <c r="A100" s="20">
        <v>33</v>
      </c>
      <c r="B100" s="21" t="s">
        <v>251</v>
      </c>
      <c r="C100" s="21" t="s">
        <v>294</v>
      </c>
      <c r="D100" s="20" t="s">
        <v>205</v>
      </c>
      <c r="E100" s="20" t="s">
        <v>165</v>
      </c>
      <c r="F100" s="20" t="s">
        <v>15</v>
      </c>
      <c r="G100" s="20" t="str">
        <f>E100&amp;"-"&amp;F100&amp;"(11)"</f>
        <v>P4-TBSI5-M15(11)</v>
      </c>
      <c r="H100" s="19" t="str">
        <f>$A$4&amp;"-"&amp;A100&amp;"/"&amp;G100</f>
        <v>C1S5-33/P4-TBSI5-M15(11)</v>
      </c>
      <c r="I100" s="19" t="str">
        <f>G100&amp;"/"&amp;B100&amp;"-"&amp;A100</f>
        <v>P4-TBSI5-M15(11)/C1S5-33</v>
      </c>
      <c r="J100" s="20" t="s">
        <v>125</v>
      </c>
      <c r="K100" s="20"/>
      <c r="L100" s="19" t="s">
        <v>277</v>
      </c>
      <c r="M100" s="20" t="s">
        <v>276</v>
      </c>
      <c r="N100" s="19" t="s">
        <v>275</v>
      </c>
      <c r="O100" s="22" t="s">
        <v>31</v>
      </c>
    </row>
    <row r="101" spans="1:15" s="23" customFormat="1">
      <c r="A101" s="20">
        <v>34</v>
      </c>
      <c r="B101" s="21" t="s">
        <v>251</v>
      </c>
      <c r="C101" s="21" t="s">
        <v>294</v>
      </c>
      <c r="D101" s="20" t="s">
        <v>66</v>
      </c>
      <c r="E101" s="20" t="s">
        <v>165</v>
      </c>
      <c r="F101" s="20" t="str">
        <f>F100</f>
        <v>M15</v>
      </c>
      <c r="G101" s="20" t="str">
        <f>E101&amp;"-"&amp;F101&amp;"(14)"</f>
        <v>P4-TBSI5-M15(14)</v>
      </c>
      <c r="H101" s="19" t="str">
        <f>$A$4&amp;"-"&amp;A101&amp;"/"&amp;G101</f>
        <v>C1S5-34/P4-TBSI5-M15(14)</v>
      </c>
      <c r="I101" s="19" t="str">
        <f>G101&amp;"/"&amp;B101&amp;"-"&amp;A101</f>
        <v>P4-TBSI5-M15(14)/C1S5-34</v>
      </c>
      <c r="J101" s="20" t="s">
        <v>125</v>
      </c>
      <c r="K101" s="20"/>
      <c r="L101" s="19" t="s">
        <v>277</v>
      </c>
      <c r="M101" s="20" t="s">
        <v>276</v>
      </c>
      <c r="N101" s="19" t="s">
        <v>275</v>
      </c>
      <c r="O101" s="22" t="s">
        <v>31</v>
      </c>
    </row>
    <row r="102" spans="1:15" s="23" customFormat="1">
      <c r="A102" s="20">
        <v>35</v>
      </c>
      <c r="B102" s="21" t="s">
        <v>251</v>
      </c>
      <c r="C102" s="21" t="s">
        <v>294</v>
      </c>
      <c r="D102" s="20" t="s">
        <v>204</v>
      </c>
      <c r="E102" s="20" t="s">
        <v>165</v>
      </c>
      <c r="F102" s="20" t="s">
        <v>12</v>
      </c>
      <c r="G102" s="20" t="str">
        <f>E102&amp;"-"&amp;F102&amp;"(11)"</f>
        <v>P4-TBSI5-M16(11)</v>
      </c>
      <c r="H102" s="19" t="str">
        <f>$A$4&amp;"-"&amp;A102&amp;"/"&amp;G102</f>
        <v>C1S5-35/P4-TBSI5-M16(11)</v>
      </c>
      <c r="I102" s="19" t="str">
        <f>G102&amp;"/"&amp;B102&amp;"-"&amp;A102</f>
        <v>P4-TBSI5-M16(11)/C1S5-35</v>
      </c>
      <c r="J102" s="20" t="s">
        <v>126</v>
      </c>
      <c r="K102" s="20"/>
      <c r="L102" s="19" t="s">
        <v>274</v>
      </c>
      <c r="M102" s="20" t="s">
        <v>273</v>
      </c>
      <c r="N102" s="19" t="s">
        <v>270</v>
      </c>
      <c r="O102" s="22" t="s">
        <v>31</v>
      </c>
    </row>
    <row r="103" spans="1:15" s="23" customFormat="1">
      <c r="A103" s="20">
        <v>36</v>
      </c>
      <c r="B103" s="21" t="s">
        <v>251</v>
      </c>
      <c r="C103" s="21" t="s">
        <v>294</v>
      </c>
      <c r="D103" s="20" t="s">
        <v>63</v>
      </c>
      <c r="E103" s="20" t="s">
        <v>165</v>
      </c>
      <c r="F103" s="20" t="str">
        <f>F102</f>
        <v>M16</v>
      </c>
      <c r="G103" s="20" t="str">
        <f>E103&amp;"-"&amp;F103&amp;"(14)"</f>
        <v>P4-TBSI5-M16(14)</v>
      </c>
      <c r="H103" s="19" t="str">
        <f>$A$4&amp;"-"&amp;A103&amp;"/"&amp;G103</f>
        <v>C1S5-36/P4-TBSI5-M16(14)</v>
      </c>
      <c r="I103" s="19" t="str">
        <f>G103&amp;"/"&amp;B103&amp;"-"&amp;A103</f>
        <v>P4-TBSI5-M16(14)/C1S5-36</v>
      </c>
      <c r="J103" s="20" t="s">
        <v>126</v>
      </c>
      <c r="K103" s="20"/>
      <c r="L103" s="19" t="s">
        <v>274</v>
      </c>
      <c r="M103" s="20" t="s">
        <v>273</v>
      </c>
      <c r="N103" s="19" t="s">
        <v>270</v>
      </c>
      <c r="O103" s="22" t="s">
        <v>31</v>
      </c>
    </row>
    <row r="104" spans="1:15" s="23" customFormat="1">
      <c r="A104" s="20">
        <v>1</v>
      </c>
      <c r="B104" s="21" t="s">
        <v>280</v>
      </c>
      <c r="C104" s="21" t="s">
        <v>294</v>
      </c>
      <c r="D104" s="20" t="s">
        <v>249</v>
      </c>
      <c r="E104" s="20" t="s">
        <v>162</v>
      </c>
      <c r="F104" s="20" t="s">
        <v>59</v>
      </c>
      <c r="G104" s="20" t="str">
        <f>E104&amp;"-"&amp;F104&amp;"(11)"</f>
        <v>P4-TBSI6-M1(11)</v>
      </c>
      <c r="H104" s="19" t="str">
        <f>$A$4&amp;"-"&amp;A104&amp;"/"&amp;G104</f>
        <v>C1S5-1/P4-TBSI6-M1(11)</v>
      </c>
      <c r="I104" s="19" t="str">
        <f>G104&amp;"/"&amp;B104&amp;"-"&amp;A104</f>
        <v>P4-TBSI6-M1(11)/C1S6-1</v>
      </c>
      <c r="J104" s="20" t="s">
        <v>126</v>
      </c>
      <c r="K104" s="20"/>
      <c r="L104" s="19" t="s">
        <v>272</v>
      </c>
      <c r="M104" s="20" t="s">
        <v>271</v>
      </c>
      <c r="N104" s="19" t="s">
        <v>270</v>
      </c>
      <c r="O104" s="22" t="s">
        <v>31</v>
      </c>
    </row>
    <row r="105" spans="1:15" s="23" customFormat="1">
      <c r="A105" s="20">
        <v>2</v>
      </c>
      <c r="B105" s="21" t="s">
        <v>280</v>
      </c>
      <c r="C105" s="21" t="s">
        <v>294</v>
      </c>
      <c r="D105" s="20" t="s">
        <v>108</v>
      </c>
      <c r="E105" s="20" t="s">
        <v>162</v>
      </c>
      <c r="F105" s="20" t="str">
        <f>F104</f>
        <v>M1</v>
      </c>
      <c r="G105" s="20" t="str">
        <f>E105&amp;"-"&amp;F105&amp;"(14)"</f>
        <v>P4-TBSI6-M1(14)</v>
      </c>
      <c r="H105" s="19" t="str">
        <f>$A$4&amp;"-"&amp;A105&amp;"/"&amp;G105</f>
        <v>C1S5-2/P4-TBSI6-M1(14)</v>
      </c>
      <c r="I105" s="19" t="str">
        <f>G105&amp;"/"&amp;B105&amp;"-"&amp;A105</f>
        <v>P4-TBSI6-M1(14)/C1S6-2</v>
      </c>
      <c r="J105" s="20" t="s">
        <v>126</v>
      </c>
      <c r="K105" s="20"/>
      <c r="L105" s="19" t="s">
        <v>272</v>
      </c>
      <c r="M105" s="20" t="s">
        <v>271</v>
      </c>
      <c r="N105" s="19" t="s">
        <v>270</v>
      </c>
      <c r="O105" s="22" t="s">
        <v>31</v>
      </c>
    </row>
    <row r="106" spans="1:15" s="23" customFormat="1">
      <c r="A106" s="20">
        <v>3</v>
      </c>
      <c r="B106" s="21" t="s">
        <v>280</v>
      </c>
      <c r="C106" s="21" t="s">
        <v>294</v>
      </c>
      <c r="D106" s="20" t="s">
        <v>246</v>
      </c>
      <c r="E106" s="20" t="s">
        <v>162</v>
      </c>
      <c r="F106" s="20" t="s">
        <v>55</v>
      </c>
      <c r="G106" s="20" t="str">
        <f>E106&amp;"-"&amp;F106&amp;"(11)"</f>
        <v>P4-TBSI6-M2(11)</v>
      </c>
      <c r="H106" s="19" t="str">
        <f>$A$4&amp;"-"&amp;A106&amp;"/"&amp;G106</f>
        <v>C1S5-3/P4-TBSI6-M2(11)</v>
      </c>
      <c r="I106" s="19" t="str">
        <f>G106&amp;"/"&amp;B106&amp;"-"&amp;A106</f>
        <v>P4-TBSI6-M2(11)/C1S6-3</v>
      </c>
      <c r="J106" s="20" t="s">
        <v>126</v>
      </c>
      <c r="K106" s="20"/>
      <c r="L106" s="19" t="s">
        <v>269</v>
      </c>
      <c r="M106" s="20" t="s">
        <v>268</v>
      </c>
      <c r="N106" s="19" t="s">
        <v>267</v>
      </c>
      <c r="O106" s="22" t="s">
        <v>31</v>
      </c>
    </row>
    <row r="107" spans="1:15" s="23" customFormat="1">
      <c r="A107" s="20">
        <v>4</v>
      </c>
      <c r="B107" s="21" t="s">
        <v>280</v>
      </c>
      <c r="C107" s="21" t="s">
        <v>294</v>
      </c>
      <c r="D107" s="20" t="s">
        <v>105</v>
      </c>
      <c r="E107" s="20" t="s">
        <v>162</v>
      </c>
      <c r="F107" s="20" t="str">
        <f>F106</f>
        <v>M2</v>
      </c>
      <c r="G107" s="20" t="str">
        <f>E107&amp;"-"&amp;F107&amp;"(14)"</f>
        <v>P4-TBSI6-M2(14)</v>
      </c>
      <c r="H107" s="19" t="str">
        <f>$A$4&amp;"-"&amp;A107&amp;"/"&amp;G107</f>
        <v>C1S5-4/P4-TBSI6-M2(14)</v>
      </c>
      <c r="I107" s="19" t="str">
        <f>G107&amp;"/"&amp;B107&amp;"-"&amp;A107</f>
        <v>P4-TBSI6-M2(14)/C1S6-4</v>
      </c>
      <c r="J107" s="20" t="s">
        <v>126</v>
      </c>
      <c r="K107" s="20"/>
      <c r="L107" s="19" t="s">
        <v>269</v>
      </c>
      <c r="M107" s="20" t="s">
        <v>268</v>
      </c>
      <c r="N107" s="19" t="s">
        <v>267</v>
      </c>
      <c r="O107" s="22" t="s">
        <v>31</v>
      </c>
    </row>
    <row r="108" spans="1:15" s="23" customFormat="1">
      <c r="A108" s="20">
        <v>5</v>
      </c>
      <c r="B108" s="21" t="s">
        <v>280</v>
      </c>
      <c r="C108" s="21" t="s">
        <v>294</v>
      </c>
      <c r="D108" s="20" t="s">
        <v>243</v>
      </c>
      <c r="E108" s="20" t="s">
        <v>162</v>
      </c>
      <c r="F108" s="20" t="s">
        <v>55</v>
      </c>
      <c r="G108" s="20" t="str">
        <f>E108&amp;"-"&amp;F108&amp;"(11)"</f>
        <v>P4-TBSI6-M2(11)</v>
      </c>
      <c r="H108" s="19" t="str">
        <f>$A$4&amp;"-"&amp;A108&amp;"/"&amp;G108</f>
        <v>C1S5-5/P4-TBSI6-M2(11)</v>
      </c>
      <c r="I108" s="19" t="str">
        <f>G108&amp;"/"&amp;B108&amp;"-"&amp;A108</f>
        <v>P4-TBSI6-M2(11)/C1S6-5</v>
      </c>
      <c r="J108" s="20" t="s">
        <v>126</v>
      </c>
      <c r="K108" s="20"/>
      <c r="L108" s="19" t="s">
        <v>266</v>
      </c>
      <c r="M108" s="20" t="s">
        <v>265</v>
      </c>
      <c r="N108" s="19" t="s">
        <v>224</v>
      </c>
      <c r="O108" s="22" t="s">
        <v>31</v>
      </c>
    </row>
    <row r="109" spans="1:15" s="23" customFormat="1">
      <c r="A109" s="20">
        <v>6</v>
      </c>
      <c r="B109" s="21" t="s">
        <v>280</v>
      </c>
      <c r="C109" s="21" t="s">
        <v>294</v>
      </c>
      <c r="D109" s="20" t="s">
        <v>102</v>
      </c>
      <c r="E109" s="20" t="s">
        <v>162</v>
      </c>
      <c r="F109" s="20" t="str">
        <f>F108</f>
        <v>M2</v>
      </c>
      <c r="G109" s="20" t="str">
        <f>E109&amp;"-"&amp;F109&amp;"(14)"</f>
        <v>P4-TBSI6-M2(14)</v>
      </c>
      <c r="H109" s="19" t="str">
        <f>$A$4&amp;"-"&amp;A109&amp;"/"&amp;G109</f>
        <v>C1S5-6/P4-TBSI6-M2(14)</v>
      </c>
      <c r="I109" s="19" t="str">
        <f>G109&amp;"/"&amp;B109&amp;"-"&amp;A109</f>
        <v>P4-TBSI6-M2(14)/C1S6-6</v>
      </c>
      <c r="J109" s="20" t="s">
        <v>126</v>
      </c>
      <c r="K109" s="20"/>
      <c r="L109" s="19" t="s">
        <v>266</v>
      </c>
      <c r="M109" s="20" t="s">
        <v>265</v>
      </c>
      <c r="N109" s="19" t="s">
        <v>224</v>
      </c>
      <c r="O109" s="22" t="s">
        <v>31</v>
      </c>
    </row>
    <row r="110" spans="1:15" s="23" customFormat="1">
      <c r="A110" s="20">
        <v>7</v>
      </c>
      <c r="B110" s="21" t="s">
        <v>280</v>
      </c>
      <c r="C110" s="21" t="s">
        <v>294</v>
      </c>
      <c r="D110" s="20" t="s">
        <v>240</v>
      </c>
      <c r="E110" s="20" t="s">
        <v>162</v>
      </c>
      <c r="F110" s="20" t="s">
        <v>51</v>
      </c>
      <c r="G110" s="20" t="str">
        <f>E110&amp;"-"&amp;F110&amp;"(11)"</f>
        <v>P4-TBSI6-M3(11)</v>
      </c>
      <c r="H110" s="19" t="str">
        <f>$A$4&amp;"-"&amp;A110&amp;"/"&amp;G110</f>
        <v>C1S5-7/P4-TBSI6-M3(11)</v>
      </c>
      <c r="I110" s="19" t="str">
        <f>G110&amp;"/"&amp;B110&amp;"-"&amp;A110</f>
        <v>P4-TBSI6-M3(11)/C1S6-7</v>
      </c>
      <c r="J110" s="20" t="s">
        <v>126</v>
      </c>
      <c r="K110" s="20"/>
      <c r="L110" s="19" t="s">
        <v>264</v>
      </c>
      <c r="M110" s="20" t="s">
        <v>263</v>
      </c>
      <c r="N110" s="19" t="s">
        <v>224</v>
      </c>
      <c r="O110" s="22" t="s">
        <v>31</v>
      </c>
    </row>
    <row r="111" spans="1:15" s="23" customFormat="1">
      <c r="A111" s="20">
        <v>8</v>
      </c>
      <c r="B111" s="21" t="s">
        <v>280</v>
      </c>
      <c r="C111" s="21" t="s">
        <v>294</v>
      </c>
      <c r="D111" s="20" t="s">
        <v>99</v>
      </c>
      <c r="E111" s="20" t="s">
        <v>162</v>
      </c>
      <c r="F111" s="20" t="str">
        <f>F110</f>
        <v>M3</v>
      </c>
      <c r="G111" s="20" t="str">
        <f>E111&amp;"-"&amp;F111&amp;"(14)"</f>
        <v>P4-TBSI6-M3(14)</v>
      </c>
      <c r="H111" s="19" t="str">
        <f>$A$4&amp;"-"&amp;A111&amp;"/"&amp;G111</f>
        <v>C1S5-8/P4-TBSI6-M3(14)</v>
      </c>
      <c r="I111" s="19" t="str">
        <f>G111&amp;"/"&amp;B111&amp;"-"&amp;A111</f>
        <v>P4-TBSI6-M3(14)/C1S6-8</v>
      </c>
      <c r="J111" s="20" t="s">
        <v>126</v>
      </c>
      <c r="K111" s="20"/>
      <c r="L111" s="19" t="s">
        <v>264</v>
      </c>
      <c r="M111" s="20" t="s">
        <v>263</v>
      </c>
      <c r="N111" s="19" t="s">
        <v>224</v>
      </c>
      <c r="O111" s="22" t="s">
        <v>31</v>
      </c>
    </row>
    <row r="112" spans="1:15" s="23" customFormat="1">
      <c r="A112" s="20">
        <v>11</v>
      </c>
      <c r="B112" s="21" t="s">
        <v>280</v>
      </c>
      <c r="C112" s="21" t="s">
        <v>294</v>
      </c>
      <c r="D112" s="20" t="s">
        <v>237</v>
      </c>
      <c r="E112" s="20" t="s">
        <v>162</v>
      </c>
      <c r="F112" s="20" t="s">
        <v>43</v>
      </c>
      <c r="G112" s="20" t="str">
        <f>E112&amp;"-"&amp;F112&amp;"(11)"</f>
        <v>P4-TBSI6-M5(11)</v>
      </c>
      <c r="H112" s="19" t="str">
        <f>$A$4&amp;"-"&amp;A112&amp;"/"&amp;G112</f>
        <v>C1S5-11/P4-TBSI6-M5(11)</v>
      </c>
      <c r="I112" s="19" t="str">
        <f>G112&amp;"/"&amp;B112&amp;"-"&amp;A112</f>
        <v>P4-TBSI6-M5(11)/C1S6-11</v>
      </c>
      <c r="J112" s="20" t="s">
        <v>126</v>
      </c>
      <c r="K112" s="20"/>
      <c r="L112" s="19" t="s">
        <v>262</v>
      </c>
      <c r="M112" s="20" t="s">
        <v>261</v>
      </c>
      <c r="N112" s="19" t="s">
        <v>224</v>
      </c>
      <c r="O112" s="24" t="s">
        <v>31</v>
      </c>
    </row>
    <row r="113" spans="1:15" s="23" customFormat="1">
      <c r="A113" s="20">
        <v>12</v>
      </c>
      <c r="B113" s="21" t="s">
        <v>280</v>
      </c>
      <c r="C113" s="21" t="s">
        <v>294</v>
      </c>
      <c r="D113" s="20" t="s">
        <v>96</v>
      </c>
      <c r="E113" s="20" t="s">
        <v>162</v>
      </c>
      <c r="F113" s="20" t="str">
        <f>F112</f>
        <v>M5</v>
      </c>
      <c r="G113" s="20" t="str">
        <f>E113&amp;"-"&amp;F113&amp;"(14)"</f>
        <v>P4-TBSI6-M5(14)</v>
      </c>
      <c r="H113" s="19" t="str">
        <f>$A$4&amp;"-"&amp;A113&amp;"/"&amp;G113</f>
        <v>C1S5-12/P4-TBSI6-M5(14)</v>
      </c>
      <c r="I113" s="19" t="str">
        <f>G113&amp;"/"&amp;B113&amp;"-"&amp;A113</f>
        <v>P4-TBSI6-M5(14)/C1S6-12</v>
      </c>
      <c r="J113" s="20" t="s">
        <v>126</v>
      </c>
      <c r="K113" s="20"/>
      <c r="L113" s="19" t="s">
        <v>262</v>
      </c>
      <c r="M113" s="20" t="s">
        <v>261</v>
      </c>
      <c r="N113" s="19" t="s">
        <v>224</v>
      </c>
      <c r="O113" s="24" t="s">
        <v>31</v>
      </c>
    </row>
    <row r="114" spans="1:15" s="23" customFormat="1">
      <c r="A114" s="20">
        <v>13</v>
      </c>
      <c r="B114" s="21" t="s">
        <v>280</v>
      </c>
      <c r="C114" s="21" t="s">
        <v>294</v>
      </c>
      <c r="D114" s="20" t="s">
        <v>234</v>
      </c>
      <c r="E114" s="20" t="s">
        <v>162</v>
      </c>
      <c r="F114" s="20" t="s">
        <v>39</v>
      </c>
      <c r="G114" s="20" t="str">
        <f>E114&amp;"-"&amp;F114&amp;"(11)"</f>
        <v>P4-TBSI6-M6(11)</v>
      </c>
      <c r="H114" s="19" t="str">
        <f>$A$4&amp;"-"&amp;A114&amp;"/"&amp;G114</f>
        <v>C1S5-13/P4-TBSI6-M6(11)</v>
      </c>
      <c r="I114" s="19" t="str">
        <f>G114&amp;"/"&amp;B114&amp;"-"&amp;A114</f>
        <v>P4-TBSI6-M6(11)/C1S6-13</v>
      </c>
      <c r="J114" s="20" t="s">
        <v>126</v>
      </c>
      <c r="K114" s="20"/>
      <c r="L114" s="19" t="s">
        <v>260</v>
      </c>
      <c r="M114" s="20" t="s">
        <v>259</v>
      </c>
      <c r="N114" s="19" t="s">
        <v>224</v>
      </c>
      <c r="O114" s="24" t="s">
        <v>31</v>
      </c>
    </row>
    <row r="115" spans="1:15" s="23" customFormat="1">
      <c r="A115" s="20">
        <v>14</v>
      </c>
      <c r="B115" s="21" t="s">
        <v>280</v>
      </c>
      <c r="C115" s="21" t="s">
        <v>294</v>
      </c>
      <c r="D115" s="20" t="s">
        <v>93</v>
      </c>
      <c r="E115" s="20" t="s">
        <v>162</v>
      </c>
      <c r="F115" s="20" t="str">
        <f>F114</f>
        <v>M6</v>
      </c>
      <c r="G115" s="20" t="str">
        <f>E115&amp;"-"&amp;F115&amp;"(14)"</f>
        <v>P4-TBSI6-M6(14)</v>
      </c>
      <c r="H115" s="19" t="str">
        <f>$A$4&amp;"-"&amp;A115&amp;"/"&amp;G115</f>
        <v>C1S5-14/P4-TBSI6-M6(14)</v>
      </c>
      <c r="I115" s="19" t="str">
        <f>G115&amp;"/"&amp;B115&amp;"-"&amp;A115</f>
        <v>P4-TBSI6-M6(14)/C1S6-14</v>
      </c>
      <c r="J115" s="20" t="s">
        <v>126</v>
      </c>
      <c r="K115" s="20"/>
      <c r="L115" s="19" t="s">
        <v>260</v>
      </c>
      <c r="M115" s="20" t="s">
        <v>259</v>
      </c>
      <c r="N115" s="19" t="s">
        <v>224</v>
      </c>
      <c r="O115" s="24" t="s">
        <v>31</v>
      </c>
    </row>
    <row r="116" spans="1:15" s="23" customFormat="1">
      <c r="A116" s="20">
        <v>15</v>
      </c>
      <c r="B116" s="21" t="s">
        <v>280</v>
      </c>
      <c r="C116" s="21" t="s">
        <v>294</v>
      </c>
      <c r="D116" s="20" t="s">
        <v>231</v>
      </c>
      <c r="E116" s="20" t="s">
        <v>162</v>
      </c>
      <c r="F116" s="20" t="s">
        <v>35</v>
      </c>
      <c r="G116" s="20" t="str">
        <f>E116&amp;"-"&amp;F116&amp;"(11)"</f>
        <v>P4-TBSI6-M7(11)</v>
      </c>
      <c r="H116" s="19" t="str">
        <f>$A$4&amp;"-"&amp;A116&amp;"/"&amp;G116</f>
        <v>C1S5-15/P4-TBSI6-M7(11)</v>
      </c>
      <c r="I116" s="19" t="str">
        <f>G116&amp;"/"&amp;B116&amp;"-"&amp;A116</f>
        <v>P4-TBSI6-M7(11)/C1S6-15</v>
      </c>
      <c r="J116" s="20" t="s">
        <v>126</v>
      </c>
      <c r="K116" s="20"/>
      <c r="L116" s="19" t="s">
        <v>258</v>
      </c>
      <c r="M116" s="20" t="s">
        <v>257</v>
      </c>
      <c r="N116" s="19" t="s">
        <v>210</v>
      </c>
      <c r="O116" s="24" t="s">
        <v>31</v>
      </c>
    </row>
    <row r="117" spans="1:15" s="23" customFormat="1">
      <c r="A117" s="20">
        <v>16</v>
      </c>
      <c r="B117" s="21" t="s">
        <v>280</v>
      </c>
      <c r="C117" s="21" t="s">
        <v>294</v>
      </c>
      <c r="D117" s="20" t="s">
        <v>90</v>
      </c>
      <c r="E117" s="20" t="s">
        <v>162</v>
      </c>
      <c r="F117" s="20" t="str">
        <f>F116</f>
        <v>M7</v>
      </c>
      <c r="G117" s="20" t="str">
        <f>E117&amp;"-"&amp;F117&amp;"(14)"</f>
        <v>P4-TBSI6-M7(14)</v>
      </c>
      <c r="H117" s="19" t="str">
        <f>$A$4&amp;"-"&amp;A117&amp;"/"&amp;G117</f>
        <v>C1S5-16/P4-TBSI6-M7(14)</v>
      </c>
      <c r="I117" s="19" t="str">
        <f>G117&amp;"/"&amp;B117&amp;"-"&amp;A117</f>
        <v>P4-TBSI6-M7(14)/C1S6-16</v>
      </c>
      <c r="J117" s="20" t="s">
        <v>126</v>
      </c>
      <c r="K117" s="20"/>
      <c r="L117" s="19" t="s">
        <v>258</v>
      </c>
      <c r="M117" s="20" t="s">
        <v>257</v>
      </c>
      <c r="N117" s="19" t="s">
        <v>210</v>
      </c>
      <c r="O117" s="24" t="s">
        <v>31</v>
      </c>
    </row>
    <row r="118" spans="1:15" s="23" customFormat="1">
      <c r="A118" s="20">
        <v>17</v>
      </c>
      <c r="B118" s="21" t="s">
        <v>280</v>
      </c>
      <c r="C118" s="21" t="s">
        <v>294</v>
      </c>
      <c r="D118" s="20" t="s">
        <v>228</v>
      </c>
      <c r="E118" s="20" t="s">
        <v>162</v>
      </c>
      <c r="F118" s="20" t="s">
        <v>29</v>
      </c>
      <c r="G118" s="20" t="str">
        <f>E118&amp;"-"&amp;F118&amp;"(11)"</f>
        <v>P4-TBSI6-M8(11)</v>
      </c>
      <c r="H118" s="19" t="str">
        <f>$A$4&amp;"-"&amp;A118&amp;"/"&amp;G118</f>
        <v>C1S5-17/P4-TBSI6-M8(11)</v>
      </c>
      <c r="I118" s="19" t="str">
        <f>G118&amp;"/"&amp;B118&amp;"-"&amp;A118</f>
        <v>P4-TBSI6-M8(11)/C1S6-17</v>
      </c>
      <c r="J118" s="20" t="s">
        <v>126</v>
      </c>
      <c r="K118" s="20"/>
      <c r="L118" s="19" t="s">
        <v>256</v>
      </c>
      <c r="M118" s="20" t="s">
        <v>255</v>
      </c>
      <c r="N118" s="19" t="s">
        <v>210</v>
      </c>
      <c r="O118" s="22" t="s">
        <v>31</v>
      </c>
    </row>
    <row r="119" spans="1:15" s="23" customFormat="1">
      <c r="A119" s="20">
        <v>18</v>
      </c>
      <c r="B119" s="21" t="s">
        <v>280</v>
      </c>
      <c r="C119" s="21" t="s">
        <v>294</v>
      </c>
      <c r="D119" s="20" t="s">
        <v>87</v>
      </c>
      <c r="E119" s="20" t="s">
        <v>162</v>
      </c>
      <c r="F119" s="20" t="str">
        <f>F118</f>
        <v>M8</v>
      </c>
      <c r="G119" s="20" t="str">
        <f>E119&amp;"-"&amp;F119&amp;"(14)"</f>
        <v>P4-TBSI6-M8(14)</v>
      </c>
      <c r="H119" s="19" t="str">
        <f>$A$4&amp;"-"&amp;A119&amp;"/"&amp;G119</f>
        <v>C1S5-18/P4-TBSI6-M8(14)</v>
      </c>
      <c r="I119" s="19" t="str">
        <f>G119&amp;"/"&amp;B119&amp;"-"&amp;A119</f>
        <v>P4-TBSI6-M8(14)/C1S6-18</v>
      </c>
      <c r="J119" s="20" t="s">
        <v>126</v>
      </c>
      <c r="K119" s="20"/>
      <c r="L119" s="19" t="s">
        <v>256</v>
      </c>
      <c r="M119" s="20" t="s">
        <v>255</v>
      </c>
      <c r="N119" s="19" t="s">
        <v>210</v>
      </c>
      <c r="O119" s="22" t="s">
        <v>31</v>
      </c>
    </row>
    <row r="120" spans="1:15" s="23" customFormat="1">
      <c r="A120" s="20">
        <v>19</v>
      </c>
      <c r="B120" s="21" t="s">
        <v>280</v>
      </c>
      <c r="C120" s="21" t="s">
        <v>294</v>
      </c>
      <c r="D120" s="20" t="s">
        <v>227</v>
      </c>
      <c r="E120" s="20" t="s">
        <v>162</v>
      </c>
      <c r="F120" s="20" t="s">
        <v>27</v>
      </c>
      <c r="G120" s="20" t="str">
        <f>E120&amp;"-"&amp;F120&amp;"(11)"</f>
        <v>P4-TBSI6-M9(11)</v>
      </c>
      <c r="H120" s="19" t="str">
        <f>$A$4&amp;"-"&amp;A120&amp;"/"&amp;G120</f>
        <v>C1S5-19/P4-TBSI6-M9(11)</v>
      </c>
      <c r="I120" s="19" t="str">
        <f>G120&amp;"/"&amp;B120&amp;"-"&amp;A120</f>
        <v>P4-TBSI6-M9(11)/C1S6-19</v>
      </c>
      <c r="J120" s="20"/>
      <c r="K120" s="20"/>
      <c r="L120" s="19"/>
      <c r="M120" s="20"/>
      <c r="N120" s="19"/>
      <c r="O120" s="24"/>
    </row>
    <row r="121" spans="1:15" s="23" customFormat="1">
      <c r="A121" s="20">
        <v>20</v>
      </c>
      <c r="B121" s="21" t="s">
        <v>280</v>
      </c>
      <c r="C121" s="21" t="s">
        <v>294</v>
      </c>
      <c r="D121" s="20" t="s">
        <v>84</v>
      </c>
      <c r="E121" s="20" t="s">
        <v>162</v>
      </c>
      <c r="F121" s="20" t="str">
        <f>F120</f>
        <v>M9</v>
      </c>
      <c r="G121" s="20" t="str">
        <f>E121&amp;"-"&amp;F121&amp;"(14)"</f>
        <v>P4-TBSI6-M9(14)</v>
      </c>
      <c r="H121" s="19" t="str">
        <f>$A$4&amp;"-"&amp;A121&amp;"/"&amp;G121</f>
        <v>C1S5-20/P4-TBSI6-M9(14)</v>
      </c>
      <c r="I121" s="19" t="str">
        <f>G121&amp;"/"&amp;B121&amp;"-"&amp;A121</f>
        <v>P4-TBSI6-M9(14)/C1S6-20</v>
      </c>
      <c r="J121" s="20"/>
      <c r="K121" s="20"/>
      <c r="L121" s="19"/>
      <c r="M121" s="20"/>
      <c r="N121" s="19"/>
      <c r="O121" s="24"/>
    </row>
    <row r="122" spans="1:15" s="23" customFormat="1">
      <c r="A122" s="20">
        <v>21</v>
      </c>
      <c r="B122" s="21" t="s">
        <v>280</v>
      </c>
      <c r="C122" s="21" t="s">
        <v>294</v>
      </c>
      <c r="D122" s="20" t="s">
        <v>223</v>
      </c>
      <c r="E122" s="20" t="s">
        <v>162</v>
      </c>
      <c r="F122" s="20" t="s">
        <v>25</v>
      </c>
      <c r="G122" s="20" t="str">
        <f>E122&amp;"-"&amp;F122&amp;"(11)"</f>
        <v>P4-TBSI6-M10(11)</v>
      </c>
      <c r="H122" s="19" t="str">
        <f>$A$4&amp;"-"&amp;A122&amp;"/"&amp;G122</f>
        <v>C1S5-21/P4-TBSI6-M10(11)</v>
      </c>
      <c r="I122" s="19" t="str">
        <f>G122&amp;"/"&amp;B122&amp;"-"&amp;A122</f>
        <v>P4-TBSI6-M10(11)/C1S6-21</v>
      </c>
      <c r="J122" s="20"/>
      <c r="K122" s="20"/>
      <c r="L122" s="19"/>
      <c r="M122" s="20"/>
      <c r="N122" s="19"/>
      <c r="O122" s="24"/>
    </row>
    <row r="123" spans="1:15" s="23" customFormat="1">
      <c r="A123" s="20">
        <v>22</v>
      </c>
      <c r="B123" s="21" t="s">
        <v>280</v>
      </c>
      <c r="C123" s="21" t="s">
        <v>294</v>
      </c>
      <c r="D123" s="20" t="s">
        <v>81</v>
      </c>
      <c r="E123" s="20" t="s">
        <v>162</v>
      </c>
      <c r="F123" s="20" t="str">
        <f>F122</f>
        <v>M10</v>
      </c>
      <c r="G123" s="20" t="str">
        <f>E123&amp;"-"&amp;F123&amp;"(14)"</f>
        <v>P4-TBSI6-M10(14)</v>
      </c>
      <c r="H123" s="19" t="str">
        <f>$A$4&amp;"-"&amp;A123&amp;"/"&amp;G123</f>
        <v>C1S5-22/P4-TBSI6-M10(14)</v>
      </c>
      <c r="I123" s="19" t="str">
        <f>G123&amp;"/"&amp;B123&amp;"-"&amp;A123</f>
        <v>P4-TBSI6-M10(14)/C1S6-22</v>
      </c>
      <c r="J123" s="20"/>
      <c r="K123" s="20"/>
      <c r="L123" s="19"/>
      <c r="M123" s="20"/>
      <c r="N123" s="19"/>
      <c r="O123" s="24"/>
    </row>
    <row r="124" spans="1:15" s="23" customFormat="1">
      <c r="A124" s="20">
        <v>23</v>
      </c>
      <c r="B124" s="21" t="s">
        <v>280</v>
      </c>
      <c r="C124" s="21" t="s">
        <v>294</v>
      </c>
      <c r="D124" s="20" t="s">
        <v>220</v>
      </c>
      <c r="E124" s="20" t="s">
        <v>162</v>
      </c>
      <c r="F124" s="20" t="s">
        <v>23</v>
      </c>
      <c r="G124" s="20" t="str">
        <f>E124&amp;"-"&amp;F124&amp;"(11)"</f>
        <v>P4-TBSI6-M11(11)</v>
      </c>
      <c r="H124" s="19" t="str">
        <f>$A$4&amp;"-"&amp;A124&amp;"/"&amp;G124</f>
        <v>C1S5-23/P4-TBSI6-M11(11)</v>
      </c>
      <c r="I124" s="19" t="str">
        <f>G124&amp;"/"&amp;B124&amp;"-"&amp;A124</f>
        <v>P4-TBSI6-M11(11)/C1S6-23</v>
      </c>
      <c r="J124" s="20"/>
      <c r="K124" s="20"/>
      <c r="L124" s="19"/>
      <c r="M124" s="20"/>
      <c r="N124" s="19"/>
      <c r="O124" s="24"/>
    </row>
    <row r="125" spans="1:15" s="23" customFormat="1">
      <c r="A125" s="20">
        <v>24</v>
      </c>
      <c r="B125" s="21" t="s">
        <v>280</v>
      </c>
      <c r="C125" s="21" t="s">
        <v>294</v>
      </c>
      <c r="D125" s="20" t="s">
        <v>78</v>
      </c>
      <c r="E125" s="20" t="s">
        <v>162</v>
      </c>
      <c r="F125" s="20" t="str">
        <f>F124</f>
        <v>M11</v>
      </c>
      <c r="G125" s="20" t="str">
        <f>E125&amp;"-"&amp;F125&amp;"(14)"</f>
        <v>P4-TBSI6-M11(14)</v>
      </c>
      <c r="H125" s="19" t="str">
        <f>$A$4&amp;"-"&amp;A125&amp;"/"&amp;G125</f>
        <v>C1S5-24/P4-TBSI6-M11(14)</v>
      </c>
      <c r="I125" s="19" t="str">
        <f>G125&amp;"/"&amp;B125&amp;"-"&amp;A125</f>
        <v>P4-TBSI6-M11(14)/C1S6-24</v>
      </c>
      <c r="J125" s="20"/>
      <c r="K125" s="20"/>
      <c r="L125" s="19"/>
      <c r="M125" s="20"/>
      <c r="N125" s="19"/>
      <c r="O125" s="24"/>
    </row>
    <row r="126" spans="1:15" s="23" customFormat="1">
      <c r="A126" s="20">
        <v>25</v>
      </c>
      <c r="B126" s="21" t="s">
        <v>280</v>
      </c>
      <c r="C126" s="21" t="s">
        <v>294</v>
      </c>
      <c r="D126" s="20" t="s">
        <v>217</v>
      </c>
      <c r="E126" s="20" t="s">
        <v>162</v>
      </c>
      <c r="F126" s="20" t="s">
        <v>21</v>
      </c>
      <c r="G126" s="20" t="str">
        <f>E126&amp;"-"&amp;F126&amp;"(11)"</f>
        <v>P4-TBSI6-M12(11)</v>
      </c>
      <c r="H126" s="19" t="str">
        <f>$A$4&amp;"-"&amp;A126&amp;"/"&amp;G126</f>
        <v>C1S5-25/P4-TBSI6-M12(11)</v>
      </c>
      <c r="I126" s="19" t="str">
        <f>G126&amp;"/"&amp;B126&amp;"-"&amp;A126</f>
        <v>P4-TBSI6-M12(11)/C1S6-25</v>
      </c>
      <c r="J126" s="20"/>
      <c r="K126" s="20"/>
      <c r="L126" s="19"/>
      <c r="M126" s="20"/>
      <c r="N126" s="19"/>
      <c r="O126" s="24"/>
    </row>
    <row r="127" spans="1:15" s="23" customFormat="1">
      <c r="A127" s="20">
        <v>26</v>
      </c>
      <c r="B127" s="21" t="s">
        <v>280</v>
      </c>
      <c r="C127" s="21" t="s">
        <v>294</v>
      </c>
      <c r="D127" s="20" t="s">
        <v>75</v>
      </c>
      <c r="E127" s="20" t="s">
        <v>162</v>
      </c>
      <c r="F127" s="20" t="str">
        <f>F126</f>
        <v>M12</v>
      </c>
      <c r="G127" s="20" t="str">
        <f>E127&amp;"-"&amp;F127&amp;"(14)"</f>
        <v>P4-TBSI6-M12(14)</v>
      </c>
      <c r="H127" s="19" t="str">
        <f>$A$4&amp;"-"&amp;A127&amp;"/"&amp;G127</f>
        <v>C1S5-26/P4-TBSI6-M12(14)</v>
      </c>
      <c r="I127" s="19" t="str">
        <f>G127&amp;"/"&amp;B127&amp;"-"&amp;A127</f>
        <v>P4-TBSI6-M12(14)/C1S6-26</v>
      </c>
      <c r="J127" s="20"/>
      <c r="K127" s="20"/>
      <c r="L127" s="19"/>
      <c r="M127" s="20"/>
      <c r="N127" s="19"/>
      <c r="O127" s="24"/>
    </row>
    <row r="128" spans="1:15" s="23" customFormat="1">
      <c r="A128" s="20">
        <v>29</v>
      </c>
      <c r="B128" s="21" t="s">
        <v>280</v>
      </c>
      <c r="C128" s="21" t="s">
        <v>294</v>
      </c>
      <c r="D128" s="20" t="s">
        <v>213</v>
      </c>
      <c r="E128" s="20" t="s">
        <v>162</v>
      </c>
      <c r="F128" s="20" t="s">
        <v>19</v>
      </c>
      <c r="G128" s="20" t="str">
        <f>E128&amp;"-"&amp;F128&amp;"(11)"</f>
        <v>P4-TBSI6-M13(11)</v>
      </c>
      <c r="H128" s="19" t="str">
        <f>$A$4&amp;"-"&amp;A128&amp;"/"&amp;G128</f>
        <v>C1S5-29/P4-TBSI6-M13(11)</v>
      </c>
      <c r="I128" s="19" t="str">
        <f>G128&amp;"/"&amp;B128&amp;"-"&amp;A128</f>
        <v>P4-TBSI6-M13(11)/C1S6-29</v>
      </c>
      <c r="J128" s="20"/>
      <c r="K128" s="20"/>
      <c r="L128" s="19"/>
      <c r="M128" s="20"/>
      <c r="N128" s="19"/>
      <c r="O128" s="24"/>
    </row>
    <row r="129" spans="1:15" s="23" customFormat="1">
      <c r="A129" s="20">
        <v>30</v>
      </c>
      <c r="B129" s="21" t="s">
        <v>280</v>
      </c>
      <c r="C129" s="21" t="s">
        <v>294</v>
      </c>
      <c r="D129" s="20" t="s">
        <v>72</v>
      </c>
      <c r="E129" s="20" t="s">
        <v>162</v>
      </c>
      <c r="F129" s="20" t="str">
        <f>F128</f>
        <v>M13</v>
      </c>
      <c r="G129" s="20" t="str">
        <f>E129&amp;"-"&amp;F129&amp;"(14)"</f>
        <v>P4-TBSI6-M13(14)</v>
      </c>
      <c r="H129" s="19" t="str">
        <f>$A$4&amp;"-"&amp;A129&amp;"/"&amp;G129</f>
        <v>C1S5-30/P4-TBSI6-M13(14)</v>
      </c>
      <c r="I129" s="19" t="str">
        <f>G129&amp;"/"&amp;B129&amp;"-"&amp;A129</f>
        <v>P4-TBSI6-M13(14)/C1S6-30</v>
      </c>
      <c r="J129" s="20"/>
      <c r="K129" s="20"/>
      <c r="L129" s="19"/>
      <c r="M129" s="20"/>
      <c r="N129" s="19"/>
      <c r="O129" s="24"/>
    </row>
    <row r="130" spans="1:15" s="23" customFormat="1">
      <c r="A130" s="20">
        <v>31</v>
      </c>
      <c r="B130" s="21" t="s">
        <v>280</v>
      </c>
      <c r="C130" s="21" t="s">
        <v>294</v>
      </c>
      <c r="D130" s="20" t="s">
        <v>209</v>
      </c>
      <c r="E130" s="20" t="s">
        <v>162</v>
      </c>
      <c r="F130" s="20" t="s">
        <v>17</v>
      </c>
      <c r="G130" s="20" t="str">
        <f>E130&amp;"-"&amp;F130&amp;"(11)"</f>
        <v>P4-TBSI6-M14(11)</v>
      </c>
      <c r="H130" s="19" t="str">
        <f>$A$4&amp;"-"&amp;A130&amp;"/"&amp;G130</f>
        <v>C1S5-31/P4-TBSI6-M14(11)</v>
      </c>
      <c r="I130" s="19" t="str">
        <f>G130&amp;"/"&amp;B130&amp;"-"&amp;A130</f>
        <v>P4-TBSI6-M14(11)/C1S6-31</v>
      </c>
      <c r="J130" s="20"/>
      <c r="K130" s="20"/>
      <c r="L130" s="19"/>
      <c r="M130" s="20"/>
      <c r="N130" s="19"/>
      <c r="O130" s="24"/>
    </row>
    <row r="131" spans="1:15" s="23" customFormat="1">
      <c r="A131" s="20">
        <v>32</v>
      </c>
      <c r="B131" s="21" t="s">
        <v>280</v>
      </c>
      <c r="C131" s="21" t="s">
        <v>294</v>
      </c>
      <c r="D131" s="20" t="s">
        <v>69</v>
      </c>
      <c r="E131" s="20" t="s">
        <v>162</v>
      </c>
      <c r="F131" s="20" t="str">
        <f>F130</f>
        <v>M14</v>
      </c>
      <c r="G131" s="20" t="str">
        <f>E131&amp;"-"&amp;F131&amp;"(14)"</f>
        <v>P4-TBSI6-M14(14)</v>
      </c>
      <c r="H131" s="19" t="str">
        <f>$A$4&amp;"-"&amp;A131&amp;"/"&amp;G131</f>
        <v>C1S5-32/P4-TBSI6-M14(14)</v>
      </c>
      <c r="I131" s="19" t="str">
        <f>G131&amp;"/"&amp;B131&amp;"-"&amp;A131</f>
        <v>P4-TBSI6-M14(14)/C1S6-32</v>
      </c>
      <c r="J131" s="20"/>
      <c r="K131" s="20"/>
      <c r="L131" s="19"/>
      <c r="M131" s="20"/>
      <c r="N131" s="19"/>
      <c r="O131" s="24"/>
    </row>
    <row r="132" spans="1:15" s="23" customFormat="1">
      <c r="A132" s="20">
        <v>33</v>
      </c>
      <c r="B132" s="21" t="s">
        <v>280</v>
      </c>
      <c r="C132" s="21" t="s">
        <v>294</v>
      </c>
      <c r="D132" s="20" t="s">
        <v>205</v>
      </c>
      <c r="E132" s="20" t="s">
        <v>162</v>
      </c>
      <c r="F132" s="20" t="s">
        <v>15</v>
      </c>
      <c r="G132" s="20" t="str">
        <f>E132&amp;"-"&amp;F132&amp;"(11)"</f>
        <v>P4-TBSI6-M15(11)</v>
      </c>
      <c r="H132" s="19" t="str">
        <f>$A$4&amp;"-"&amp;A132&amp;"/"&amp;G132</f>
        <v>C1S5-33/P4-TBSI6-M15(11)</v>
      </c>
      <c r="I132" s="19" t="str">
        <f>G132&amp;"/"&amp;B132&amp;"-"&amp;A132</f>
        <v>P4-TBSI6-M15(11)/C1S6-33</v>
      </c>
      <c r="J132" s="20"/>
      <c r="K132" s="20"/>
      <c r="L132" s="19"/>
      <c r="M132" s="20"/>
      <c r="N132" s="19"/>
      <c r="O132" s="24"/>
    </row>
    <row r="133" spans="1:15" s="23" customFormat="1">
      <c r="A133" s="20">
        <v>34</v>
      </c>
      <c r="B133" s="21" t="s">
        <v>280</v>
      </c>
      <c r="C133" s="21" t="s">
        <v>294</v>
      </c>
      <c r="D133" s="20" t="s">
        <v>66</v>
      </c>
      <c r="E133" s="20" t="s">
        <v>162</v>
      </c>
      <c r="F133" s="20" t="str">
        <f>F132</f>
        <v>M15</v>
      </c>
      <c r="G133" s="20" t="str">
        <f>E133&amp;"-"&amp;F133&amp;"(14)"</f>
        <v>P4-TBSI6-M15(14)</v>
      </c>
      <c r="H133" s="19" t="str">
        <f>$A$4&amp;"-"&amp;A133&amp;"/"&amp;G133</f>
        <v>C1S5-34/P4-TBSI6-M15(14)</v>
      </c>
      <c r="I133" s="19" t="str">
        <f>G133&amp;"/"&amp;B133&amp;"-"&amp;A133</f>
        <v>P4-TBSI6-M15(14)/C1S6-34</v>
      </c>
      <c r="J133" s="20"/>
      <c r="K133" s="20"/>
      <c r="L133" s="19"/>
      <c r="M133" s="20"/>
      <c r="N133" s="19"/>
      <c r="O133" s="24"/>
    </row>
    <row r="134" spans="1:15" s="23" customFormat="1">
      <c r="A134" s="20">
        <v>35</v>
      </c>
      <c r="B134" s="21" t="s">
        <v>280</v>
      </c>
      <c r="C134" s="21" t="s">
        <v>294</v>
      </c>
      <c r="D134" s="20" t="s">
        <v>204</v>
      </c>
      <c r="E134" s="20" t="s">
        <v>162</v>
      </c>
      <c r="F134" s="20" t="s">
        <v>12</v>
      </c>
      <c r="G134" s="20" t="str">
        <f>E134&amp;"-"&amp;F134&amp;"(11)"</f>
        <v>P4-TBSI6-M16(11)</v>
      </c>
      <c r="H134" s="19" t="str">
        <f>$A$4&amp;"-"&amp;A134&amp;"/"&amp;G134</f>
        <v>C1S5-35/P4-TBSI6-M16(11)</v>
      </c>
      <c r="I134" s="19" t="str">
        <f>G134&amp;"/"&amp;B134&amp;"-"&amp;A134</f>
        <v>P4-TBSI6-M16(11)/C1S6-35</v>
      </c>
      <c r="J134" s="20"/>
      <c r="K134" s="20"/>
      <c r="L134" s="19"/>
      <c r="M134" s="20"/>
      <c r="N134" s="19"/>
      <c r="O134" s="24"/>
    </row>
    <row r="135" spans="1:15" s="23" customFormat="1">
      <c r="A135" s="20">
        <v>36</v>
      </c>
      <c r="B135" s="21" t="s">
        <v>280</v>
      </c>
      <c r="C135" s="21" t="s">
        <v>294</v>
      </c>
      <c r="D135" s="20" t="s">
        <v>63</v>
      </c>
      <c r="E135" s="20" t="s">
        <v>162</v>
      </c>
      <c r="F135" s="20" t="str">
        <f>F134</f>
        <v>M16</v>
      </c>
      <c r="G135" s="20" t="str">
        <f>E135&amp;"-"&amp;F135&amp;"(14)"</f>
        <v>P4-TBSI6-M16(14)</v>
      </c>
      <c r="H135" s="19" t="str">
        <f>$A$4&amp;"-"&amp;A135&amp;"/"&amp;G135</f>
        <v>C1S5-36/P4-TBSI6-M16(14)</v>
      </c>
      <c r="I135" s="19" t="str">
        <f>G135&amp;"/"&amp;B135&amp;"-"&amp;A135</f>
        <v>P4-TBSI6-M16(14)/C1S6-36</v>
      </c>
      <c r="J135" s="20"/>
      <c r="K135" s="20"/>
      <c r="L135" s="19"/>
      <c r="M135" s="20"/>
      <c r="N135" s="19"/>
      <c r="O135" s="24"/>
    </row>
  </sheetData>
  <mergeCells count="5">
    <mergeCell ref="A1:N1"/>
    <mergeCell ref="A2:N2"/>
    <mergeCell ref="A3:N3"/>
    <mergeCell ref="A5:G5"/>
    <mergeCell ref="H5:N5"/>
  </mergeCells>
  <phoneticPr fontId="12" type="noConversion"/>
  <hyperlinks>
    <hyperlink ref="A5" location="'C4SlotConfig'!A1" display="← Back to Chassis Summary (C4SlotConfig)" xr:uid="{787AFA74-C218-A345-8BA1-EA8E1414BD31}"/>
    <hyperlink ref="H5" location="'00_Slot_Index'!A1" display="← Back to Master Slot Directory (00_Slot_Index)" xr:uid="{5303469A-7D22-CB44-9F75-7B82C4C98C0C}"/>
  </hyperlink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E6C3-6B2A-B54C-8BD5-5C476E1F8458}">
  <dimension ref="A2:T130"/>
  <sheetViews>
    <sheetView tabSelected="1" topLeftCell="F63" workbookViewId="0">
      <selection activeCell="Q73" sqref="Q73"/>
    </sheetView>
  </sheetViews>
  <sheetFormatPr baseColWidth="10" defaultRowHeight="15"/>
  <cols>
    <col min="1" max="1" width="10.33203125" style="29" customWidth="1"/>
    <col min="2" max="2" width="12" style="29" customWidth="1"/>
    <col min="3" max="3" width="17.5" style="29" customWidth="1"/>
    <col min="4" max="5" width="10.33203125" style="29" customWidth="1"/>
    <col min="6" max="6" width="14.83203125" style="29" bestFit="1" customWidth="1"/>
    <col min="7" max="7" width="13.6640625" style="29" customWidth="1"/>
    <col min="8" max="8" width="10.83203125" style="29"/>
    <col min="9" max="9" width="11.6640625" style="29" customWidth="1"/>
    <col min="10" max="10" width="11.33203125" style="32" customWidth="1"/>
    <col min="11" max="12" width="11.33203125" style="29" customWidth="1"/>
    <col min="13" max="13" width="39.1640625" style="29" customWidth="1"/>
    <col min="14" max="14" width="25.83203125" style="29" bestFit="1" customWidth="1"/>
    <col min="15" max="15" width="17.33203125" style="29" customWidth="1"/>
    <col min="16" max="16" width="11.33203125" style="29" customWidth="1"/>
    <col min="17" max="17" width="19.83203125" style="29" bestFit="1" customWidth="1"/>
    <col min="18" max="18" width="11.33203125" style="29" customWidth="1"/>
    <col min="19" max="19" width="33.1640625" style="29" bestFit="1" customWidth="1"/>
    <col min="20" max="20" width="11.33203125" style="29" customWidth="1"/>
    <col min="21" max="16384" width="10.83203125" style="29"/>
  </cols>
  <sheetData>
    <row r="2" spans="1:20">
      <c r="A2" s="30" t="s">
        <v>286</v>
      </c>
      <c r="B2" s="30" t="s">
        <v>287</v>
      </c>
      <c r="C2" s="30" t="s">
        <v>288</v>
      </c>
      <c r="D2" s="30" t="s">
        <v>289</v>
      </c>
      <c r="E2" s="30" t="s">
        <v>300</v>
      </c>
      <c r="F2" s="30" t="s">
        <v>301</v>
      </c>
      <c r="G2" s="30" t="s">
        <v>314</v>
      </c>
      <c r="H2" s="30" t="s">
        <v>302</v>
      </c>
      <c r="I2" s="31" t="s">
        <v>303</v>
      </c>
      <c r="J2" s="33" t="s">
        <v>304</v>
      </c>
      <c r="K2" s="31" t="s">
        <v>305</v>
      </c>
      <c r="L2" s="30" t="s">
        <v>291</v>
      </c>
      <c r="M2" s="30" t="s">
        <v>316</v>
      </c>
      <c r="N2" s="30" t="s">
        <v>312</v>
      </c>
      <c r="O2" s="30" t="s">
        <v>306</v>
      </c>
      <c r="P2" s="30" t="s">
        <v>307</v>
      </c>
      <c r="Q2" s="30" t="s">
        <v>308</v>
      </c>
      <c r="R2" s="30" t="s">
        <v>309</v>
      </c>
      <c r="S2" s="30" t="s">
        <v>310</v>
      </c>
      <c r="T2" s="34" t="s">
        <v>311</v>
      </c>
    </row>
    <row r="3" spans="1:20">
      <c r="A3" s="30" t="s">
        <v>296</v>
      </c>
      <c r="B3" s="30" t="s">
        <v>295</v>
      </c>
      <c r="C3" s="30" t="s">
        <v>285</v>
      </c>
      <c r="D3" s="30" t="s">
        <v>59</v>
      </c>
      <c r="E3" s="30">
        <v>14</v>
      </c>
      <c r="F3" s="30" t="str">
        <f>A3&amp;"-"&amp;B3&amp;"-"&amp;D3&amp;"("&amp;Table2[[#This Row],[Column5]]&amp;")"</f>
        <v>P4-TBSI1-M1(14)</v>
      </c>
      <c r="G3" s="30" t="s">
        <v>315</v>
      </c>
      <c r="H3" s="30"/>
      <c r="I3" s="31" t="s">
        <v>121</v>
      </c>
      <c r="J3" s="33">
        <v>1</v>
      </c>
      <c r="K3" s="31" t="s">
        <v>293</v>
      </c>
      <c r="L3" s="30" t="s">
        <v>108</v>
      </c>
      <c r="M3" s="30" t="str">
        <f>IF(Table2[[#This Row],[Need Mark]]="Y",I3&amp;"-"&amp;J3&amp;"/"&amp;F3,"-")</f>
        <v>C4S1-1/P4-TBSI1-M1(14)</v>
      </c>
      <c r="N3" s="30" t="str">
        <f>IF(Table2[[#This Row],[Need Mark]]="Y",F3&amp;"/"&amp;I3&amp;"-"&amp;J3,"-")</f>
        <v>P4-TBSI1-M1(14)/C4S1-1</v>
      </c>
      <c r="O3" s="30" t="str">
        <f>Table2[[#This Row],[Column3]]</f>
        <v>PNF-HiC2821</v>
      </c>
      <c r="P3" s="30" t="s">
        <v>4</v>
      </c>
      <c r="Q3" s="30" t="s">
        <v>107</v>
      </c>
      <c r="R3" s="30" t="s">
        <v>106</v>
      </c>
      <c r="S3" s="30" t="s">
        <v>32</v>
      </c>
      <c r="T3" s="34" t="s">
        <v>31</v>
      </c>
    </row>
    <row r="4" spans="1:20">
      <c r="A4" s="30" t="s">
        <v>296</v>
      </c>
      <c r="B4" s="30" t="s">
        <v>295</v>
      </c>
      <c r="C4" s="30" t="s">
        <v>285</v>
      </c>
      <c r="D4" s="30" t="str">
        <f>D3</f>
        <v>M1</v>
      </c>
      <c r="E4" s="30">
        <v>11</v>
      </c>
      <c r="F4" s="30" t="str">
        <f>A4&amp;"-"&amp;B4&amp;"-"&amp;D4&amp;"("&amp;Table2[[#This Row],[Column5]]&amp;")"</f>
        <v>P4-TBSI1-M1(11)</v>
      </c>
      <c r="G4" s="30" t="s">
        <v>315</v>
      </c>
      <c r="H4" s="30"/>
      <c r="I4" s="31" t="s">
        <v>317</v>
      </c>
      <c r="J4" s="33" t="s">
        <v>299</v>
      </c>
      <c r="K4" s="31" t="s">
        <v>297</v>
      </c>
      <c r="L4" s="31" t="s">
        <v>297</v>
      </c>
      <c r="M4" s="30" t="str">
        <f>IF(Table2[[#This Row],[Need Mark]]="Y",I4&amp;"-"&amp;J4&amp;"/"&amp;F4,"-")</f>
        <v>TB-24VDC-2(1)/P4-TBSI1-M1(11)</v>
      </c>
      <c r="N4" s="30" t="str">
        <f>IF(Table2[[#This Row],[Need Mark]]="Y",F4&amp;"/"&amp;I4&amp;"-"&amp;J4,"-")</f>
        <v>P4-TBSI1-M1(11)/TB-24VDC-2(1)</v>
      </c>
      <c r="O4" s="30" t="str">
        <f>Table2[[#This Row],[Column3]]</f>
        <v>PNF-HiC2821</v>
      </c>
      <c r="P4" s="29" t="s">
        <v>4</v>
      </c>
      <c r="Q4" s="29" t="s">
        <v>107</v>
      </c>
      <c r="R4" s="29" t="s">
        <v>106</v>
      </c>
      <c r="S4" s="29" t="s">
        <v>32</v>
      </c>
      <c r="T4" s="29" t="s">
        <v>31</v>
      </c>
    </row>
    <row r="5" spans="1:20">
      <c r="A5" s="30" t="s">
        <v>296</v>
      </c>
      <c r="B5" s="30" t="s">
        <v>295</v>
      </c>
      <c r="C5" s="30" t="s">
        <v>285</v>
      </c>
      <c r="D5" s="30" t="s">
        <v>55</v>
      </c>
      <c r="E5" s="30">
        <v>14</v>
      </c>
      <c r="F5" s="30" t="str">
        <f>A5&amp;"-"&amp;B5&amp;"-"&amp;D5&amp;"("&amp;Table2[[#This Row],[Column5]]&amp;")"</f>
        <v>P4-TBSI1-M2(14)</v>
      </c>
      <c r="G5" s="30" t="s">
        <v>315</v>
      </c>
      <c r="H5" s="30"/>
      <c r="I5" s="31" t="s">
        <v>121</v>
      </c>
      <c r="J5" s="33">
        <v>2</v>
      </c>
      <c r="K5" s="31" t="s">
        <v>293</v>
      </c>
      <c r="L5" s="30" t="s">
        <v>105</v>
      </c>
      <c r="M5" s="30" t="str">
        <f>IF(Table2[[#This Row],[Need Mark]]="Y",I5&amp;"-"&amp;J5&amp;"/"&amp;F5,"-")</f>
        <v>C4S1-2/P4-TBSI1-M2(14)</v>
      </c>
      <c r="N5" s="30" t="str">
        <f>IF(Table2[[#This Row],[Need Mark]]="Y",F5&amp;"/"&amp;I5&amp;"-"&amp;J5,"-")</f>
        <v>P4-TBSI1-M2(14)/C4S1-2</v>
      </c>
      <c r="O5" s="30" t="str">
        <f>Table2[[#This Row],[Column3]]</f>
        <v>PNF-HiC2821</v>
      </c>
      <c r="P5" s="30" t="s">
        <v>4</v>
      </c>
      <c r="Q5" s="30" t="s">
        <v>104</v>
      </c>
      <c r="R5" s="30" t="s">
        <v>103</v>
      </c>
      <c r="S5" s="30" t="s">
        <v>32</v>
      </c>
      <c r="T5" s="34" t="s">
        <v>31</v>
      </c>
    </row>
    <row r="6" spans="1:20">
      <c r="A6" s="30" t="s">
        <v>296</v>
      </c>
      <c r="B6" s="30" t="s">
        <v>295</v>
      </c>
      <c r="C6" s="30" t="s">
        <v>285</v>
      </c>
      <c r="D6" s="30" t="str">
        <f>D5</f>
        <v>M2</v>
      </c>
      <c r="E6" s="30">
        <v>11</v>
      </c>
      <c r="F6" s="30" t="str">
        <f>A6&amp;"-"&amp;B6&amp;"-"&amp;D6&amp;"("&amp;Table2[[#This Row],[Column5]]&amp;")"</f>
        <v>P4-TBSI1-M2(11)</v>
      </c>
      <c r="G6" s="30"/>
      <c r="H6" s="30"/>
      <c r="I6" s="31" t="s">
        <v>317</v>
      </c>
      <c r="J6" s="33" t="s">
        <v>299</v>
      </c>
      <c r="K6" s="31" t="s">
        <v>297</v>
      </c>
      <c r="L6" s="31" t="s">
        <v>297</v>
      </c>
      <c r="M6" s="30" t="str">
        <f>IF(Table2[[#This Row],[Need Mark]]="Y",I6&amp;"-"&amp;J6&amp;"/"&amp;F6,"-")</f>
        <v>-</v>
      </c>
      <c r="N6" s="30" t="str">
        <f>IF(Table2[[#This Row],[Need Mark]]="Y",F6&amp;"/"&amp;I6&amp;"-"&amp;J6,"-")</f>
        <v>-</v>
      </c>
      <c r="O6" s="30" t="str">
        <f>Table2[[#This Row],[Column3]]</f>
        <v>PNF-HiC2821</v>
      </c>
      <c r="P6" s="29" t="s">
        <v>4</v>
      </c>
      <c r="Q6" s="29" t="s">
        <v>104</v>
      </c>
      <c r="R6" s="29" t="s">
        <v>103</v>
      </c>
      <c r="S6" s="29" t="s">
        <v>32</v>
      </c>
      <c r="T6" s="29" t="s">
        <v>31</v>
      </c>
    </row>
    <row r="7" spans="1:20">
      <c r="A7" s="30" t="s">
        <v>296</v>
      </c>
      <c r="B7" s="30" t="s">
        <v>295</v>
      </c>
      <c r="C7" s="30" t="s">
        <v>285</v>
      </c>
      <c r="D7" s="30" t="s">
        <v>55</v>
      </c>
      <c r="E7" s="30">
        <v>14</v>
      </c>
      <c r="F7" s="30" t="str">
        <f>A7&amp;"-"&amp;B7&amp;"-"&amp;D7&amp;"("&amp;Table2[[#This Row],[Column5]]&amp;")"</f>
        <v>P4-TBSI1-M2(14)</v>
      </c>
      <c r="G7" s="30" t="s">
        <v>315</v>
      </c>
      <c r="H7" s="30"/>
      <c r="I7" s="31" t="s">
        <v>121</v>
      </c>
      <c r="J7" s="33">
        <v>3</v>
      </c>
      <c r="K7" s="31" t="s">
        <v>293</v>
      </c>
      <c r="L7" s="30" t="s">
        <v>102</v>
      </c>
      <c r="M7" s="30" t="str">
        <f>IF(Table2[[#This Row],[Need Mark]]="Y",I7&amp;"-"&amp;J7&amp;"/"&amp;F7,"-")</f>
        <v>C4S1-3/P4-TBSI1-M2(14)</v>
      </c>
      <c r="N7" s="30" t="str">
        <f>IF(Table2[[#This Row],[Need Mark]]="Y",F7&amp;"/"&amp;I7&amp;"-"&amp;J7,"-")</f>
        <v>P4-TBSI1-M2(14)/C4S1-3</v>
      </c>
      <c r="O7" s="30" t="str">
        <f>Table2[[#This Row],[Column3]]</f>
        <v>PNF-HiC2821</v>
      </c>
      <c r="P7" s="30" t="s">
        <v>4</v>
      </c>
      <c r="Q7" s="30" t="s">
        <v>101</v>
      </c>
      <c r="R7" s="30" t="s">
        <v>100</v>
      </c>
      <c r="S7" s="30" t="s">
        <v>32</v>
      </c>
      <c r="T7" s="34" t="s">
        <v>31</v>
      </c>
    </row>
    <row r="8" spans="1:20">
      <c r="A8" s="30" t="s">
        <v>296</v>
      </c>
      <c r="B8" s="30" t="s">
        <v>295</v>
      </c>
      <c r="C8" s="30" t="s">
        <v>285</v>
      </c>
      <c r="D8" s="30" t="str">
        <f>D7</f>
        <v>M2</v>
      </c>
      <c r="E8" s="30">
        <v>11</v>
      </c>
      <c r="F8" s="30" t="str">
        <f>A8&amp;"-"&amp;B8&amp;"-"&amp;D8&amp;"("&amp;Table2[[#This Row],[Column5]]&amp;")"</f>
        <v>P4-TBSI1-M2(11)</v>
      </c>
      <c r="G8" s="30"/>
      <c r="H8" s="30"/>
      <c r="I8" s="31" t="s">
        <v>317</v>
      </c>
      <c r="J8" s="33" t="s">
        <v>299</v>
      </c>
      <c r="K8" s="31" t="s">
        <v>297</v>
      </c>
      <c r="L8" s="31" t="s">
        <v>297</v>
      </c>
      <c r="M8" s="30" t="str">
        <f>IF(Table2[[#This Row],[Need Mark]]="Y",I8&amp;"-"&amp;J8&amp;"/"&amp;F8,"-")</f>
        <v>-</v>
      </c>
      <c r="N8" s="30" t="str">
        <f>IF(Table2[[#This Row],[Need Mark]]="Y",F8&amp;"/"&amp;I8&amp;"-"&amp;J8,"-")</f>
        <v>-</v>
      </c>
      <c r="O8" s="30" t="str">
        <f>Table2[[#This Row],[Column3]]</f>
        <v>PNF-HiC2821</v>
      </c>
      <c r="P8" s="29" t="s">
        <v>4</v>
      </c>
      <c r="Q8" s="29" t="s">
        <v>101</v>
      </c>
      <c r="R8" s="29" t="s">
        <v>100</v>
      </c>
      <c r="S8" s="29" t="s">
        <v>32</v>
      </c>
      <c r="T8" s="29" t="s">
        <v>31</v>
      </c>
    </row>
    <row r="9" spans="1:20">
      <c r="A9" s="30" t="s">
        <v>296</v>
      </c>
      <c r="B9" s="30" t="s">
        <v>295</v>
      </c>
      <c r="C9" s="30" t="s">
        <v>285</v>
      </c>
      <c r="D9" s="30" t="s">
        <v>51</v>
      </c>
      <c r="E9" s="30">
        <v>14</v>
      </c>
      <c r="F9" s="30" t="str">
        <f>A9&amp;"-"&amp;B9&amp;"-"&amp;D9&amp;"("&amp;Table2[[#This Row],[Column5]]&amp;")"</f>
        <v>P4-TBSI1-M3(14)</v>
      </c>
      <c r="G9" s="30" t="s">
        <v>315</v>
      </c>
      <c r="H9" s="30"/>
      <c r="I9" s="31" t="s">
        <v>121</v>
      </c>
      <c r="J9" s="33">
        <v>4</v>
      </c>
      <c r="K9" s="31" t="s">
        <v>293</v>
      </c>
      <c r="L9" s="30" t="s">
        <v>99</v>
      </c>
      <c r="M9" s="30" t="str">
        <f>IF(Table2[[#This Row],[Need Mark]]="Y",I9&amp;"-"&amp;J9&amp;"/"&amp;F9,"-")</f>
        <v>C4S1-4/P4-TBSI1-M3(14)</v>
      </c>
      <c r="N9" s="30" t="str">
        <f>IF(Table2[[#This Row],[Need Mark]]="Y",F9&amp;"/"&amp;I9&amp;"-"&amp;J9,"-")</f>
        <v>P4-TBSI1-M3(14)/C4S1-4</v>
      </c>
      <c r="O9" s="30" t="str">
        <f>Table2[[#This Row],[Column3]]</f>
        <v>PNF-HiC2821</v>
      </c>
      <c r="P9" s="30" t="s">
        <v>4</v>
      </c>
      <c r="Q9" s="30" t="s">
        <v>98</v>
      </c>
      <c r="R9" s="30" t="s">
        <v>97</v>
      </c>
      <c r="S9" s="30" t="s">
        <v>32</v>
      </c>
      <c r="T9" s="34" t="s">
        <v>31</v>
      </c>
    </row>
    <row r="10" spans="1:20">
      <c r="A10" s="30" t="s">
        <v>296</v>
      </c>
      <c r="B10" s="30" t="s">
        <v>295</v>
      </c>
      <c r="C10" s="30" t="s">
        <v>285</v>
      </c>
      <c r="D10" s="30" t="str">
        <f>D9</f>
        <v>M3</v>
      </c>
      <c r="E10" s="30">
        <v>11</v>
      </c>
      <c r="F10" s="30" t="str">
        <f>A10&amp;"-"&amp;B10&amp;"-"&amp;D10&amp;"("&amp;Table2[[#This Row],[Column5]]&amp;")"</f>
        <v>P4-TBSI1-M3(11)</v>
      </c>
      <c r="G10" s="30"/>
      <c r="H10" s="30"/>
      <c r="I10" s="31" t="s">
        <v>317</v>
      </c>
      <c r="J10" s="33" t="s">
        <v>299</v>
      </c>
      <c r="K10" s="31" t="s">
        <v>297</v>
      </c>
      <c r="L10" s="31" t="s">
        <v>297</v>
      </c>
      <c r="M10" s="30" t="str">
        <f>IF(Table2[[#This Row],[Need Mark]]="Y",I10&amp;"-"&amp;J10&amp;"/"&amp;F10,"-")</f>
        <v>-</v>
      </c>
      <c r="N10" s="30" t="str">
        <f>IF(Table2[[#This Row],[Need Mark]]="Y",F10&amp;"/"&amp;I10&amp;"-"&amp;J10,"-")</f>
        <v>-</v>
      </c>
      <c r="O10" s="30" t="str">
        <f>Table2[[#This Row],[Column3]]</f>
        <v>PNF-HiC2821</v>
      </c>
      <c r="P10" s="29" t="s">
        <v>4</v>
      </c>
      <c r="Q10" s="29" t="s">
        <v>98</v>
      </c>
      <c r="R10" s="29" t="s">
        <v>97</v>
      </c>
      <c r="S10" s="29" t="s">
        <v>32</v>
      </c>
      <c r="T10" s="29" t="s">
        <v>31</v>
      </c>
    </row>
    <row r="11" spans="1:20">
      <c r="A11" s="30" t="s">
        <v>296</v>
      </c>
      <c r="B11" s="30" t="s">
        <v>295</v>
      </c>
      <c r="C11" s="30" t="s">
        <v>285</v>
      </c>
      <c r="D11" s="30" t="s">
        <v>43</v>
      </c>
      <c r="E11" s="30">
        <v>14</v>
      </c>
      <c r="F11" s="30" t="str">
        <f>A11&amp;"-"&amp;B11&amp;"-"&amp;D11&amp;"("&amp;Table2[[#This Row],[Column5]]&amp;")"</f>
        <v>P4-TBSI1-M5(14)</v>
      </c>
      <c r="G11" s="30" t="s">
        <v>315</v>
      </c>
      <c r="H11" s="30"/>
      <c r="I11" s="31" t="s">
        <v>121</v>
      </c>
      <c r="J11" s="33">
        <v>5</v>
      </c>
      <c r="K11" s="31" t="s">
        <v>293</v>
      </c>
      <c r="L11" s="30" t="s">
        <v>96</v>
      </c>
      <c r="M11" s="30" t="str">
        <f>IF(Table2[[#This Row],[Need Mark]]="Y",I11&amp;"-"&amp;J11&amp;"/"&amp;F11,"-")</f>
        <v>C4S1-5/P4-TBSI1-M5(14)</v>
      </c>
      <c r="N11" s="30" t="str">
        <f>IF(Table2[[#This Row],[Need Mark]]="Y",F11&amp;"/"&amp;I11&amp;"-"&amp;J11,"-")</f>
        <v>P4-TBSI1-M5(14)/C4S1-5</v>
      </c>
      <c r="O11" s="30" t="str">
        <f>Table2[[#This Row],[Column3]]</f>
        <v>PNF-HiC2821</v>
      </c>
      <c r="P11" s="30" t="s">
        <v>4</v>
      </c>
      <c r="Q11" s="30" t="s">
        <v>95</v>
      </c>
      <c r="R11" s="30" t="s">
        <v>94</v>
      </c>
      <c r="S11" s="30" t="s">
        <v>32</v>
      </c>
      <c r="T11" s="34" t="s">
        <v>31</v>
      </c>
    </row>
    <row r="12" spans="1:20">
      <c r="A12" s="30" t="s">
        <v>296</v>
      </c>
      <c r="B12" s="30" t="s">
        <v>295</v>
      </c>
      <c r="C12" s="30" t="s">
        <v>285</v>
      </c>
      <c r="D12" s="30" t="str">
        <f>D11</f>
        <v>M5</v>
      </c>
      <c r="E12" s="30">
        <v>11</v>
      </c>
      <c r="F12" s="30" t="str">
        <f>A12&amp;"-"&amp;B12&amp;"-"&amp;D12&amp;"("&amp;Table2[[#This Row],[Column5]]&amp;")"</f>
        <v>P4-TBSI1-M5(11)</v>
      </c>
      <c r="G12" s="30"/>
      <c r="H12" s="30"/>
      <c r="I12" s="31" t="s">
        <v>317</v>
      </c>
      <c r="J12" s="33" t="s">
        <v>299</v>
      </c>
      <c r="K12" s="31" t="s">
        <v>297</v>
      </c>
      <c r="L12" s="31" t="s">
        <v>297</v>
      </c>
      <c r="M12" s="30" t="str">
        <f>IF(Table2[[#This Row],[Need Mark]]="Y",I12&amp;"-"&amp;J12&amp;"/"&amp;F12,"-")</f>
        <v>-</v>
      </c>
      <c r="N12" s="30" t="str">
        <f>IF(Table2[[#This Row],[Need Mark]]="Y",F12&amp;"/"&amp;I12&amp;"-"&amp;J12,"-")</f>
        <v>-</v>
      </c>
      <c r="O12" s="30" t="str">
        <f>Table2[[#This Row],[Column3]]</f>
        <v>PNF-HiC2821</v>
      </c>
      <c r="P12" s="29" t="s">
        <v>4</v>
      </c>
      <c r="Q12" s="29" t="s">
        <v>95</v>
      </c>
      <c r="R12" s="29" t="s">
        <v>94</v>
      </c>
      <c r="S12" s="29" t="s">
        <v>32</v>
      </c>
      <c r="T12" s="29" t="s">
        <v>31</v>
      </c>
    </row>
    <row r="13" spans="1:20">
      <c r="A13" s="30" t="s">
        <v>296</v>
      </c>
      <c r="B13" s="30" t="s">
        <v>295</v>
      </c>
      <c r="C13" s="30" t="s">
        <v>285</v>
      </c>
      <c r="D13" s="30" t="s">
        <v>39</v>
      </c>
      <c r="E13" s="30">
        <v>14</v>
      </c>
      <c r="F13" s="30" t="str">
        <f>A13&amp;"-"&amp;B13&amp;"-"&amp;D13&amp;"("&amp;Table2[[#This Row],[Column5]]&amp;")"</f>
        <v>P4-TBSI1-M6(14)</v>
      </c>
      <c r="G13" s="30" t="s">
        <v>315</v>
      </c>
      <c r="H13" s="30"/>
      <c r="I13" s="31" t="s">
        <v>121</v>
      </c>
      <c r="J13" s="33">
        <v>6</v>
      </c>
      <c r="K13" s="31" t="s">
        <v>293</v>
      </c>
      <c r="L13" s="30" t="s">
        <v>93</v>
      </c>
      <c r="M13" s="30" t="str">
        <f>IF(Table2[[#This Row],[Need Mark]]="Y",I13&amp;"-"&amp;J13&amp;"/"&amp;F13,"-")</f>
        <v>C4S1-6/P4-TBSI1-M6(14)</v>
      </c>
      <c r="N13" s="30" t="str">
        <f>IF(Table2[[#This Row],[Need Mark]]="Y",F13&amp;"/"&amp;I13&amp;"-"&amp;J13,"-")</f>
        <v>P4-TBSI1-M6(14)/C4S1-6</v>
      </c>
      <c r="O13" s="30" t="str">
        <f>Table2[[#This Row],[Column3]]</f>
        <v>PNF-HiC2821</v>
      </c>
      <c r="P13" s="30" t="s">
        <v>4</v>
      </c>
      <c r="Q13" s="30" t="s">
        <v>92</v>
      </c>
      <c r="R13" s="30" t="s">
        <v>91</v>
      </c>
      <c r="S13" s="30" t="s">
        <v>32</v>
      </c>
      <c r="T13" s="34" t="s">
        <v>31</v>
      </c>
    </row>
    <row r="14" spans="1:20">
      <c r="A14" s="30" t="s">
        <v>296</v>
      </c>
      <c r="B14" s="30" t="s">
        <v>295</v>
      </c>
      <c r="C14" s="30" t="s">
        <v>285</v>
      </c>
      <c r="D14" s="30" t="str">
        <f>D13</f>
        <v>M6</v>
      </c>
      <c r="E14" s="30">
        <v>11</v>
      </c>
      <c r="F14" s="30" t="str">
        <f>A14&amp;"-"&amp;B14&amp;"-"&amp;D14&amp;"("&amp;Table2[[#This Row],[Column5]]&amp;")"</f>
        <v>P4-TBSI1-M6(11)</v>
      </c>
      <c r="G14" s="30"/>
      <c r="H14" s="30"/>
      <c r="I14" s="31" t="s">
        <v>317</v>
      </c>
      <c r="J14" s="33" t="s">
        <v>299</v>
      </c>
      <c r="K14" s="31" t="s">
        <v>297</v>
      </c>
      <c r="L14" s="31" t="s">
        <v>297</v>
      </c>
      <c r="M14" s="30" t="str">
        <f>IF(Table2[[#This Row],[Need Mark]]="Y",I14&amp;"-"&amp;J14&amp;"/"&amp;F14,"-")</f>
        <v>-</v>
      </c>
      <c r="N14" s="30" t="str">
        <f>IF(Table2[[#This Row],[Need Mark]]="Y",F14&amp;"/"&amp;I14&amp;"-"&amp;J14,"-")</f>
        <v>-</v>
      </c>
      <c r="O14" s="30" t="str">
        <f>Table2[[#This Row],[Column3]]</f>
        <v>PNF-HiC2821</v>
      </c>
      <c r="P14" s="29" t="s">
        <v>4</v>
      </c>
      <c r="Q14" s="29" t="s">
        <v>92</v>
      </c>
      <c r="R14" s="29" t="s">
        <v>91</v>
      </c>
      <c r="S14" s="29" t="s">
        <v>32</v>
      </c>
      <c r="T14" s="29" t="s">
        <v>31</v>
      </c>
    </row>
    <row r="15" spans="1:20">
      <c r="A15" s="30" t="s">
        <v>296</v>
      </c>
      <c r="B15" s="30" t="s">
        <v>295</v>
      </c>
      <c r="C15" s="30" t="s">
        <v>285</v>
      </c>
      <c r="D15" s="30" t="s">
        <v>35</v>
      </c>
      <c r="E15" s="30">
        <v>14</v>
      </c>
      <c r="F15" s="30" t="str">
        <f>A15&amp;"-"&amp;B15&amp;"-"&amp;D15&amp;"("&amp;Table2[[#This Row],[Column5]]&amp;")"</f>
        <v>P4-TBSI1-M7(14)</v>
      </c>
      <c r="G15" s="30" t="s">
        <v>315</v>
      </c>
      <c r="H15" s="30"/>
      <c r="I15" s="31" t="s">
        <v>121</v>
      </c>
      <c r="J15" s="33">
        <v>7</v>
      </c>
      <c r="K15" s="31" t="s">
        <v>293</v>
      </c>
      <c r="L15" s="30" t="s">
        <v>90</v>
      </c>
      <c r="M15" s="30" t="str">
        <f>IF(Table2[[#This Row],[Need Mark]]="Y",I15&amp;"-"&amp;J15&amp;"/"&amp;F15,"-")</f>
        <v>C4S1-7/P4-TBSI1-M7(14)</v>
      </c>
      <c r="N15" s="30" t="str">
        <f>IF(Table2[[#This Row],[Need Mark]]="Y",F15&amp;"/"&amp;I15&amp;"-"&amp;J15,"-")</f>
        <v>P4-TBSI1-M7(14)/C4S1-7</v>
      </c>
      <c r="O15" s="30" t="str">
        <f>Table2[[#This Row],[Column3]]</f>
        <v>PNF-HiC2821</v>
      </c>
      <c r="P15" s="30" t="s">
        <v>4</v>
      </c>
      <c r="Q15" s="30" t="s">
        <v>89</v>
      </c>
      <c r="R15" s="30" t="s">
        <v>88</v>
      </c>
      <c r="S15" s="30" t="s">
        <v>32</v>
      </c>
      <c r="T15" s="34" t="s">
        <v>31</v>
      </c>
    </row>
    <row r="16" spans="1:20">
      <c r="A16" s="30" t="s">
        <v>296</v>
      </c>
      <c r="B16" s="30" t="s">
        <v>295</v>
      </c>
      <c r="C16" s="30" t="s">
        <v>285</v>
      </c>
      <c r="D16" s="30" t="str">
        <f>D15</f>
        <v>M7</v>
      </c>
      <c r="E16" s="30">
        <v>11</v>
      </c>
      <c r="F16" s="30" t="str">
        <f>A16&amp;"-"&amp;B16&amp;"-"&amp;D16&amp;"("&amp;Table2[[#This Row],[Column5]]&amp;")"</f>
        <v>P4-TBSI1-M7(11)</v>
      </c>
      <c r="G16" s="30"/>
      <c r="H16" s="30"/>
      <c r="I16" s="31" t="s">
        <v>317</v>
      </c>
      <c r="J16" s="33" t="s">
        <v>299</v>
      </c>
      <c r="K16" s="31" t="s">
        <v>297</v>
      </c>
      <c r="L16" s="31" t="s">
        <v>297</v>
      </c>
      <c r="M16" s="30" t="str">
        <f>IF(Table2[[#This Row],[Need Mark]]="Y",I16&amp;"-"&amp;J16&amp;"/"&amp;F16,"-")</f>
        <v>-</v>
      </c>
      <c r="N16" s="30" t="str">
        <f>IF(Table2[[#This Row],[Need Mark]]="Y",F16&amp;"/"&amp;I16&amp;"-"&amp;J16,"-")</f>
        <v>-</v>
      </c>
      <c r="O16" s="30" t="str">
        <f>Table2[[#This Row],[Column3]]</f>
        <v>PNF-HiC2821</v>
      </c>
      <c r="P16" s="29" t="s">
        <v>4</v>
      </c>
      <c r="Q16" s="29" t="s">
        <v>89</v>
      </c>
      <c r="R16" s="29" t="s">
        <v>88</v>
      </c>
      <c r="S16" s="29" t="s">
        <v>32</v>
      </c>
      <c r="T16" s="29" t="s">
        <v>31</v>
      </c>
    </row>
    <row r="17" spans="1:20">
      <c r="A17" s="30" t="s">
        <v>296</v>
      </c>
      <c r="B17" s="30" t="s">
        <v>295</v>
      </c>
      <c r="C17" s="30" t="s">
        <v>285</v>
      </c>
      <c r="D17" s="30" t="s">
        <v>29</v>
      </c>
      <c r="E17" s="30">
        <v>14</v>
      </c>
      <c r="F17" s="30" t="str">
        <f>A17&amp;"-"&amp;B17&amp;"-"&amp;D17&amp;"("&amp;Table2[[#This Row],[Column5]]&amp;")"</f>
        <v>P4-TBSI1-M8(14)</v>
      </c>
      <c r="G17" s="30" t="s">
        <v>315</v>
      </c>
      <c r="H17" s="30"/>
      <c r="I17" s="31" t="s">
        <v>121</v>
      </c>
      <c r="J17" s="33">
        <v>8</v>
      </c>
      <c r="K17" s="31" t="s">
        <v>293</v>
      </c>
      <c r="L17" s="30" t="s">
        <v>87</v>
      </c>
      <c r="M17" s="30" t="str">
        <f>IF(Table2[[#This Row],[Need Mark]]="Y",I17&amp;"-"&amp;J17&amp;"/"&amp;F17,"-")</f>
        <v>C4S1-8/P4-TBSI1-M8(14)</v>
      </c>
      <c r="N17" s="30" t="str">
        <f>IF(Table2[[#This Row],[Need Mark]]="Y",F17&amp;"/"&amp;I17&amp;"-"&amp;J17,"-")</f>
        <v>P4-TBSI1-M8(14)/C4S1-8</v>
      </c>
      <c r="O17" s="30" t="str">
        <f>Table2[[#This Row],[Column3]]</f>
        <v>PNF-HiC2821</v>
      </c>
      <c r="P17" s="30" t="s">
        <v>4</v>
      </c>
      <c r="Q17" s="30" t="s">
        <v>86</v>
      </c>
      <c r="R17" s="30" t="s">
        <v>85</v>
      </c>
      <c r="S17" s="30" t="s">
        <v>32</v>
      </c>
      <c r="T17" s="34" t="s">
        <v>31</v>
      </c>
    </row>
    <row r="18" spans="1:20">
      <c r="A18" s="30" t="s">
        <v>296</v>
      </c>
      <c r="B18" s="30" t="s">
        <v>295</v>
      </c>
      <c r="C18" s="30" t="s">
        <v>285</v>
      </c>
      <c r="D18" s="30" t="str">
        <f>D17</f>
        <v>M8</v>
      </c>
      <c r="E18" s="30">
        <v>11</v>
      </c>
      <c r="F18" s="30" t="str">
        <f>A18&amp;"-"&amp;B18&amp;"-"&amp;D18&amp;"("&amp;Table2[[#This Row],[Column5]]&amp;")"</f>
        <v>P4-TBSI1-M8(11)</v>
      </c>
      <c r="G18" s="30"/>
      <c r="H18" s="30"/>
      <c r="I18" s="31" t="s">
        <v>317</v>
      </c>
      <c r="J18" s="33" t="s">
        <v>299</v>
      </c>
      <c r="K18" s="31" t="s">
        <v>297</v>
      </c>
      <c r="L18" s="31" t="s">
        <v>297</v>
      </c>
      <c r="M18" s="30" t="str">
        <f>IF(Table2[[#This Row],[Need Mark]]="Y",I18&amp;"-"&amp;J18&amp;"/"&amp;F18,"-")</f>
        <v>-</v>
      </c>
      <c r="N18" s="30" t="str">
        <f>IF(Table2[[#This Row],[Need Mark]]="Y",F18&amp;"/"&amp;I18&amp;"-"&amp;J18,"-")</f>
        <v>-</v>
      </c>
      <c r="O18" s="30" t="str">
        <f>Table2[[#This Row],[Column3]]</f>
        <v>PNF-HiC2821</v>
      </c>
      <c r="P18" s="29" t="s">
        <v>4</v>
      </c>
      <c r="Q18" s="29" t="s">
        <v>86</v>
      </c>
      <c r="R18" s="29" t="s">
        <v>85</v>
      </c>
      <c r="S18" s="29" t="s">
        <v>32</v>
      </c>
      <c r="T18" s="29" t="s">
        <v>31</v>
      </c>
    </row>
    <row r="19" spans="1:20">
      <c r="A19" s="30" t="s">
        <v>296</v>
      </c>
      <c r="B19" s="30" t="s">
        <v>295</v>
      </c>
      <c r="C19" s="30" t="s">
        <v>285</v>
      </c>
      <c r="D19" s="30" t="s">
        <v>27</v>
      </c>
      <c r="E19" s="30">
        <v>14</v>
      </c>
      <c r="F19" s="30" t="str">
        <f>A19&amp;"-"&amp;B19&amp;"-"&amp;D19&amp;"("&amp;Table2[[#This Row],[Column5]]&amp;")"</f>
        <v>P4-TBSI1-M9(14)</v>
      </c>
      <c r="G19" s="30" t="s">
        <v>315</v>
      </c>
      <c r="H19" s="30"/>
      <c r="I19" s="31" t="s">
        <v>121</v>
      </c>
      <c r="J19" s="33">
        <v>9</v>
      </c>
      <c r="K19" s="31" t="s">
        <v>293</v>
      </c>
      <c r="L19" s="30" t="s">
        <v>84</v>
      </c>
      <c r="M19" s="30" t="str">
        <f>IF(Table2[[#This Row],[Need Mark]]="Y",I19&amp;"-"&amp;J19&amp;"/"&amp;F19,"-")</f>
        <v>C4S1-9/P4-TBSI1-M9(14)</v>
      </c>
      <c r="N19" s="30" t="str">
        <f>IF(Table2[[#This Row],[Need Mark]]="Y",F19&amp;"/"&amp;I19&amp;"-"&amp;J19,"-")</f>
        <v>P4-TBSI1-M9(14)/C4S1-9</v>
      </c>
      <c r="O19" s="30" t="str">
        <f>Table2[[#This Row],[Column3]]</f>
        <v>PNF-HiC2821</v>
      </c>
      <c r="P19" s="30" t="s">
        <v>4</v>
      </c>
      <c r="Q19" s="30" t="s">
        <v>83</v>
      </c>
      <c r="R19" s="30" t="s">
        <v>82</v>
      </c>
      <c r="S19" s="30" t="s">
        <v>32</v>
      </c>
      <c r="T19" s="34" t="s">
        <v>31</v>
      </c>
    </row>
    <row r="20" spans="1:20">
      <c r="A20" s="30" t="s">
        <v>296</v>
      </c>
      <c r="B20" s="30" t="s">
        <v>295</v>
      </c>
      <c r="C20" s="30" t="s">
        <v>285</v>
      </c>
      <c r="D20" s="30" t="str">
        <f>D19</f>
        <v>M9</v>
      </c>
      <c r="E20" s="30">
        <v>11</v>
      </c>
      <c r="F20" s="30" t="str">
        <f>A20&amp;"-"&amp;B20&amp;"-"&amp;D20&amp;"("&amp;Table2[[#This Row],[Column5]]&amp;")"</f>
        <v>P4-TBSI1-M9(11)</v>
      </c>
      <c r="G20" s="30"/>
      <c r="H20" s="30"/>
      <c r="I20" s="31" t="s">
        <v>317</v>
      </c>
      <c r="J20" s="33" t="s">
        <v>299</v>
      </c>
      <c r="K20" s="31" t="s">
        <v>297</v>
      </c>
      <c r="L20" s="31" t="s">
        <v>297</v>
      </c>
      <c r="M20" s="30" t="str">
        <f>IF(Table2[[#This Row],[Need Mark]]="Y",I20&amp;"-"&amp;J20&amp;"/"&amp;F20,"-")</f>
        <v>-</v>
      </c>
      <c r="N20" s="30" t="str">
        <f>IF(Table2[[#This Row],[Need Mark]]="Y",F20&amp;"/"&amp;I20&amp;"-"&amp;J20,"-")</f>
        <v>-</v>
      </c>
      <c r="O20" s="30" t="str">
        <f>Table2[[#This Row],[Column3]]</f>
        <v>PNF-HiC2821</v>
      </c>
      <c r="P20" s="29" t="s">
        <v>4</v>
      </c>
      <c r="Q20" s="29" t="s">
        <v>83</v>
      </c>
      <c r="R20" s="29" t="s">
        <v>82</v>
      </c>
      <c r="S20" s="29" t="s">
        <v>32</v>
      </c>
      <c r="T20" s="29" t="s">
        <v>31</v>
      </c>
    </row>
    <row r="21" spans="1:20">
      <c r="A21" s="30" t="s">
        <v>296</v>
      </c>
      <c r="B21" s="30" t="s">
        <v>295</v>
      </c>
      <c r="C21" s="30" t="s">
        <v>285</v>
      </c>
      <c r="D21" s="30" t="s">
        <v>25</v>
      </c>
      <c r="E21" s="30">
        <v>14</v>
      </c>
      <c r="F21" s="30" t="str">
        <f>A21&amp;"-"&amp;B21&amp;"-"&amp;D21&amp;"("&amp;Table2[[#This Row],[Column5]]&amp;")"</f>
        <v>P4-TBSI1-M10(14)</v>
      </c>
      <c r="G21" s="30" t="s">
        <v>315</v>
      </c>
      <c r="H21" s="30"/>
      <c r="I21" s="31" t="s">
        <v>121</v>
      </c>
      <c r="J21" s="33">
        <v>10</v>
      </c>
      <c r="K21" s="31" t="s">
        <v>293</v>
      </c>
      <c r="L21" s="30" t="s">
        <v>81</v>
      </c>
      <c r="M21" s="30" t="str">
        <f>IF(Table2[[#This Row],[Need Mark]]="Y",I21&amp;"-"&amp;J21&amp;"/"&amp;F21,"-")</f>
        <v>C4S1-10/P4-TBSI1-M10(14)</v>
      </c>
      <c r="N21" s="30" t="str">
        <f>IF(Table2[[#This Row],[Need Mark]]="Y",F21&amp;"/"&amp;I21&amp;"-"&amp;J21,"-")</f>
        <v>P4-TBSI1-M10(14)/C4S1-10</v>
      </c>
      <c r="O21" s="30" t="str">
        <f>Table2[[#This Row],[Column3]]</f>
        <v>PNF-HiC2821</v>
      </c>
      <c r="P21" s="30" t="s">
        <v>4</v>
      </c>
      <c r="Q21" s="30" t="s">
        <v>80</v>
      </c>
      <c r="R21" s="30" t="s">
        <v>79</v>
      </c>
      <c r="S21" s="30" t="s">
        <v>32</v>
      </c>
      <c r="T21" s="34" t="s">
        <v>31</v>
      </c>
    </row>
    <row r="22" spans="1:20">
      <c r="A22" s="30" t="s">
        <v>296</v>
      </c>
      <c r="B22" s="30" t="s">
        <v>295</v>
      </c>
      <c r="C22" s="30" t="s">
        <v>285</v>
      </c>
      <c r="D22" s="30" t="str">
        <f>D21</f>
        <v>M10</v>
      </c>
      <c r="E22" s="30">
        <v>11</v>
      </c>
      <c r="F22" s="30" t="str">
        <f>A22&amp;"-"&amp;B22&amp;"-"&amp;D22&amp;"("&amp;Table2[[#This Row],[Column5]]&amp;")"</f>
        <v>P4-TBSI1-M10(11)</v>
      </c>
      <c r="G22" s="30"/>
      <c r="H22" s="30"/>
      <c r="I22" s="31" t="s">
        <v>317</v>
      </c>
      <c r="J22" s="33" t="s">
        <v>299</v>
      </c>
      <c r="K22" s="31" t="s">
        <v>297</v>
      </c>
      <c r="L22" s="31" t="s">
        <v>297</v>
      </c>
      <c r="M22" s="30" t="str">
        <f>IF(Table2[[#This Row],[Need Mark]]="Y",I22&amp;"-"&amp;J22&amp;"/"&amp;F22,"-")</f>
        <v>-</v>
      </c>
      <c r="N22" s="30" t="str">
        <f>IF(Table2[[#This Row],[Need Mark]]="Y",F22&amp;"/"&amp;I22&amp;"-"&amp;J22,"-")</f>
        <v>-</v>
      </c>
      <c r="O22" s="30" t="str">
        <f>Table2[[#This Row],[Column3]]</f>
        <v>PNF-HiC2821</v>
      </c>
      <c r="P22" s="29" t="s">
        <v>4</v>
      </c>
      <c r="Q22" s="29" t="s">
        <v>80</v>
      </c>
      <c r="R22" s="29" t="s">
        <v>79</v>
      </c>
      <c r="S22" s="29" t="s">
        <v>32</v>
      </c>
      <c r="T22" s="29" t="s">
        <v>31</v>
      </c>
    </row>
    <row r="23" spans="1:20">
      <c r="A23" s="30" t="s">
        <v>296</v>
      </c>
      <c r="B23" s="30" t="s">
        <v>295</v>
      </c>
      <c r="C23" s="30" t="s">
        <v>285</v>
      </c>
      <c r="D23" s="30" t="s">
        <v>23</v>
      </c>
      <c r="E23" s="30">
        <v>14</v>
      </c>
      <c r="F23" s="30" t="str">
        <f>A23&amp;"-"&amp;B23&amp;"-"&amp;D23&amp;"("&amp;Table2[[#This Row],[Column5]]&amp;")"</f>
        <v>P4-TBSI1-M11(14)</v>
      </c>
      <c r="G23" s="30" t="s">
        <v>315</v>
      </c>
      <c r="H23" s="30"/>
      <c r="I23" s="31" t="s">
        <v>121</v>
      </c>
      <c r="J23" s="33">
        <v>11</v>
      </c>
      <c r="K23" s="31" t="s">
        <v>293</v>
      </c>
      <c r="L23" s="30" t="s">
        <v>78</v>
      </c>
      <c r="M23" s="30" t="str">
        <f>IF(Table2[[#This Row],[Need Mark]]="Y",I23&amp;"-"&amp;J23&amp;"/"&amp;F23,"-")</f>
        <v>C4S1-11/P4-TBSI1-M11(14)</v>
      </c>
      <c r="N23" s="30" t="str">
        <f>IF(Table2[[#This Row],[Need Mark]]="Y",F23&amp;"/"&amp;I23&amp;"-"&amp;J23,"-")</f>
        <v>P4-TBSI1-M11(14)/C4S1-11</v>
      </c>
      <c r="O23" s="30" t="str">
        <f>Table2[[#This Row],[Column3]]</f>
        <v>PNF-HiC2821</v>
      </c>
      <c r="P23" s="30" t="s">
        <v>4</v>
      </c>
      <c r="Q23" s="30" t="s">
        <v>77</v>
      </c>
      <c r="R23" s="30" t="s">
        <v>76</v>
      </c>
      <c r="S23" s="30" t="s">
        <v>32</v>
      </c>
      <c r="T23" s="34" t="s">
        <v>31</v>
      </c>
    </row>
    <row r="24" spans="1:20">
      <c r="A24" s="30" t="s">
        <v>296</v>
      </c>
      <c r="B24" s="30" t="s">
        <v>295</v>
      </c>
      <c r="C24" s="30" t="s">
        <v>285</v>
      </c>
      <c r="D24" s="30" t="str">
        <f>D23</f>
        <v>M11</v>
      </c>
      <c r="E24" s="30">
        <v>11</v>
      </c>
      <c r="F24" s="30" t="str">
        <f>A24&amp;"-"&amp;B24&amp;"-"&amp;D24&amp;"("&amp;Table2[[#This Row],[Column5]]&amp;")"</f>
        <v>P4-TBSI1-M11(11)</v>
      </c>
      <c r="G24" s="30"/>
      <c r="H24" s="30"/>
      <c r="I24" s="31" t="s">
        <v>317</v>
      </c>
      <c r="J24" s="33" t="s">
        <v>299</v>
      </c>
      <c r="K24" s="31" t="s">
        <v>297</v>
      </c>
      <c r="L24" s="31" t="s">
        <v>297</v>
      </c>
      <c r="M24" s="30" t="str">
        <f>IF(Table2[[#This Row],[Need Mark]]="Y",I24&amp;"-"&amp;J24&amp;"/"&amp;F24,"-")</f>
        <v>-</v>
      </c>
      <c r="N24" s="30" t="str">
        <f>IF(Table2[[#This Row],[Need Mark]]="Y",F24&amp;"/"&amp;I24&amp;"-"&amp;J24,"-")</f>
        <v>-</v>
      </c>
      <c r="O24" s="30" t="str">
        <f>Table2[[#This Row],[Column3]]</f>
        <v>PNF-HiC2821</v>
      </c>
      <c r="P24" s="29" t="s">
        <v>4</v>
      </c>
      <c r="Q24" s="29" t="s">
        <v>77</v>
      </c>
      <c r="R24" s="29" t="s">
        <v>76</v>
      </c>
      <c r="S24" s="29" t="s">
        <v>32</v>
      </c>
      <c r="T24" s="29" t="s">
        <v>31</v>
      </c>
    </row>
    <row r="25" spans="1:20">
      <c r="A25" s="30" t="s">
        <v>296</v>
      </c>
      <c r="B25" s="30" t="s">
        <v>295</v>
      </c>
      <c r="C25" s="30" t="s">
        <v>285</v>
      </c>
      <c r="D25" s="30" t="s">
        <v>21</v>
      </c>
      <c r="E25" s="30">
        <v>14</v>
      </c>
      <c r="F25" s="30" t="str">
        <f>A25&amp;"-"&amp;B25&amp;"-"&amp;D25&amp;"("&amp;Table2[[#This Row],[Column5]]&amp;")"</f>
        <v>P4-TBSI1-M12(14)</v>
      </c>
      <c r="G25" s="30" t="s">
        <v>315</v>
      </c>
      <c r="H25" s="30"/>
      <c r="I25" s="31" t="s">
        <v>121</v>
      </c>
      <c r="J25" s="33">
        <v>12</v>
      </c>
      <c r="K25" s="31" t="s">
        <v>293</v>
      </c>
      <c r="L25" s="30" t="s">
        <v>75</v>
      </c>
      <c r="M25" s="30" t="str">
        <f>IF(Table2[[#This Row],[Need Mark]]="Y",I25&amp;"-"&amp;J25&amp;"/"&amp;F25,"-")</f>
        <v>C4S1-12/P4-TBSI1-M12(14)</v>
      </c>
      <c r="N25" s="30" t="str">
        <f>IF(Table2[[#This Row],[Need Mark]]="Y",F25&amp;"/"&amp;I25&amp;"-"&amp;J25,"-")</f>
        <v>P4-TBSI1-M12(14)/C4S1-12</v>
      </c>
      <c r="O25" s="30" t="str">
        <f>Table2[[#This Row],[Column3]]</f>
        <v>PNF-HiC2821</v>
      </c>
      <c r="P25" s="30" t="s">
        <v>4</v>
      </c>
      <c r="Q25" s="30" t="s">
        <v>74</v>
      </c>
      <c r="R25" s="30" t="s">
        <v>73</v>
      </c>
      <c r="S25" s="30" t="s">
        <v>32</v>
      </c>
      <c r="T25" s="34" t="s">
        <v>31</v>
      </c>
    </row>
    <row r="26" spans="1:20">
      <c r="A26" s="30" t="s">
        <v>296</v>
      </c>
      <c r="B26" s="30" t="s">
        <v>295</v>
      </c>
      <c r="C26" s="30" t="s">
        <v>285</v>
      </c>
      <c r="D26" s="30" t="str">
        <f>D25</f>
        <v>M12</v>
      </c>
      <c r="E26" s="30">
        <v>11</v>
      </c>
      <c r="F26" s="30" t="str">
        <f>A26&amp;"-"&amp;B26&amp;"-"&amp;D26&amp;"("&amp;Table2[[#This Row],[Column5]]&amp;")"</f>
        <v>P4-TBSI1-M12(11)</v>
      </c>
      <c r="G26" s="30"/>
      <c r="H26" s="30"/>
      <c r="I26" s="31" t="s">
        <v>317</v>
      </c>
      <c r="J26" s="33" t="s">
        <v>299</v>
      </c>
      <c r="K26" s="31" t="s">
        <v>297</v>
      </c>
      <c r="L26" s="31" t="s">
        <v>297</v>
      </c>
      <c r="M26" s="30" t="str">
        <f>IF(Table2[[#This Row],[Need Mark]]="Y",I26&amp;"-"&amp;J26&amp;"/"&amp;F26,"-")</f>
        <v>-</v>
      </c>
      <c r="N26" s="30" t="str">
        <f>IF(Table2[[#This Row],[Need Mark]]="Y",F26&amp;"/"&amp;I26&amp;"-"&amp;J26,"-")</f>
        <v>-</v>
      </c>
      <c r="O26" s="30" t="str">
        <f>Table2[[#This Row],[Column3]]</f>
        <v>PNF-HiC2821</v>
      </c>
      <c r="P26" s="29" t="s">
        <v>4</v>
      </c>
      <c r="Q26" s="29" t="s">
        <v>74</v>
      </c>
      <c r="R26" s="29" t="s">
        <v>73</v>
      </c>
      <c r="S26" s="29" t="s">
        <v>32</v>
      </c>
      <c r="T26" s="29" t="s">
        <v>31</v>
      </c>
    </row>
    <row r="27" spans="1:20">
      <c r="A27" s="30" t="s">
        <v>296</v>
      </c>
      <c r="B27" s="30" t="s">
        <v>295</v>
      </c>
      <c r="C27" s="30" t="s">
        <v>285</v>
      </c>
      <c r="D27" s="30" t="s">
        <v>19</v>
      </c>
      <c r="E27" s="30">
        <v>14</v>
      </c>
      <c r="F27" s="30" t="str">
        <f>A27&amp;"-"&amp;B27&amp;"-"&amp;D27&amp;"("&amp;Table2[[#This Row],[Column5]]&amp;")"</f>
        <v>P4-TBSI1-M13(14)</v>
      </c>
      <c r="G27" s="30" t="s">
        <v>315</v>
      </c>
      <c r="H27" s="30"/>
      <c r="I27" s="31" t="s">
        <v>121</v>
      </c>
      <c r="J27" s="33">
        <v>13</v>
      </c>
      <c r="K27" s="31" t="s">
        <v>293</v>
      </c>
      <c r="L27" s="30" t="s">
        <v>72</v>
      </c>
      <c r="M27" s="30" t="str">
        <f>IF(Table2[[#This Row],[Need Mark]]="Y",I27&amp;"-"&amp;J27&amp;"/"&amp;F27,"-")</f>
        <v>C4S1-13/P4-TBSI1-M13(14)</v>
      </c>
      <c r="N27" s="30" t="str">
        <f>IF(Table2[[#This Row],[Need Mark]]="Y",F27&amp;"/"&amp;I27&amp;"-"&amp;J27,"-")</f>
        <v>P4-TBSI1-M13(14)/C4S1-13</v>
      </c>
      <c r="O27" s="30" t="str">
        <f>Table2[[#This Row],[Column3]]</f>
        <v>PNF-HiC2821</v>
      </c>
      <c r="P27" s="30" t="s">
        <v>4</v>
      </c>
      <c r="Q27" s="30" t="s">
        <v>71</v>
      </c>
      <c r="R27" s="30" t="s">
        <v>70</v>
      </c>
      <c r="S27" s="30" t="s">
        <v>32</v>
      </c>
      <c r="T27" s="34" t="s">
        <v>31</v>
      </c>
    </row>
    <row r="28" spans="1:20">
      <c r="A28" s="30" t="s">
        <v>296</v>
      </c>
      <c r="B28" s="30" t="s">
        <v>295</v>
      </c>
      <c r="C28" s="30" t="s">
        <v>285</v>
      </c>
      <c r="D28" s="30" t="str">
        <f>D27</f>
        <v>M13</v>
      </c>
      <c r="E28" s="30">
        <v>11</v>
      </c>
      <c r="F28" s="30" t="str">
        <f>A28&amp;"-"&amp;B28&amp;"-"&amp;D28&amp;"("&amp;Table2[[#This Row],[Column5]]&amp;")"</f>
        <v>P4-TBSI1-M13(11)</v>
      </c>
      <c r="G28" s="30"/>
      <c r="H28" s="30"/>
      <c r="I28" s="31" t="s">
        <v>317</v>
      </c>
      <c r="J28" s="33" t="s">
        <v>299</v>
      </c>
      <c r="K28" s="31" t="s">
        <v>297</v>
      </c>
      <c r="L28" s="31" t="s">
        <v>297</v>
      </c>
      <c r="M28" s="30" t="str">
        <f>IF(Table2[[#This Row],[Need Mark]]="Y",I28&amp;"-"&amp;J28&amp;"/"&amp;F28,"-")</f>
        <v>-</v>
      </c>
      <c r="N28" s="30" t="str">
        <f>IF(Table2[[#This Row],[Need Mark]]="Y",F28&amp;"/"&amp;I28&amp;"-"&amp;J28,"-")</f>
        <v>-</v>
      </c>
      <c r="O28" s="30" t="str">
        <f>Table2[[#This Row],[Column3]]</f>
        <v>PNF-HiC2821</v>
      </c>
      <c r="P28" s="29" t="s">
        <v>4</v>
      </c>
      <c r="Q28" s="29" t="s">
        <v>71</v>
      </c>
      <c r="R28" s="29" t="s">
        <v>70</v>
      </c>
      <c r="S28" s="29" t="s">
        <v>32</v>
      </c>
      <c r="T28" s="29" t="s">
        <v>31</v>
      </c>
    </row>
    <row r="29" spans="1:20">
      <c r="A29" s="30" t="s">
        <v>296</v>
      </c>
      <c r="B29" s="30" t="s">
        <v>295</v>
      </c>
      <c r="C29" s="30" t="s">
        <v>285</v>
      </c>
      <c r="D29" s="30" t="s">
        <v>17</v>
      </c>
      <c r="E29" s="30">
        <v>14</v>
      </c>
      <c r="F29" s="30" t="str">
        <f>A29&amp;"-"&amp;B29&amp;"-"&amp;D29&amp;"("&amp;Table2[[#This Row],[Column5]]&amp;")"</f>
        <v>P4-TBSI1-M14(14)</v>
      </c>
      <c r="G29" s="30" t="s">
        <v>315</v>
      </c>
      <c r="H29" s="30"/>
      <c r="I29" s="31" t="s">
        <v>121</v>
      </c>
      <c r="J29" s="33">
        <v>14</v>
      </c>
      <c r="K29" s="31" t="s">
        <v>293</v>
      </c>
      <c r="L29" s="30" t="s">
        <v>69</v>
      </c>
      <c r="M29" s="30" t="str">
        <f>IF(Table2[[#This Row],[Need Mark]]="Y",I29&amp;"-"&amp;J29&amp;"/"&amp;F29,"-")</f>
        <v>C4S1-14/P4-TBSI1-M14(14)</v>
      </c>
      <c r="N29" s="30" t="str">
        <f>IF(Table2[[#This Row],[Need Mark]]="Y",F29&amp;"/"&amp;I29&amp;"-"&amp;J29,"-")</f>
        <v>P4-TBSI1-M14(14)/C4S1-14</v>
      </c>
      <c r="O29" s="30" t="str">
        <f>Table2[[#This Row],[Column3]]</f>
        <v>PNF-HiC2821</v>
      </c>
      <c r="P29" s="30" t="s">
        <v>4</v>
      </c>
      <c r="Q29" s="30" t="s">
        <v>68</v>
      </c>
      <c r="R29" s="30" t="s">
        <v>67</v>
      </c>
      <c r="S29" s="30" t="s">
        <v>32</v>
      </c>
      <c r="T29" s="34" t="s">
        <v>31</v>
      </c>
    </row>
    <row r="30" spans="1:20">
      <c r="A30" s="30" t="s">
        <v>296</v>
      </c>
      <c r="B30" s="30" t="s">
        <v>295</v>
      </c>
      <c r="C30" s="30" t="s">
        <v>285</v>
      </c>
      <c r="D30" s="30" t="str">
        <f>D29</f>
        <v>M14</v>
      </c>
      <c r="E30" s="30">
        <v>11</v>
      </c>
      <c r="F30" s="30" t="str">
        <f>A30&amp;"-"&amp;B30&amp;"-"&amp;D30&amp;"("&amp;Table2[[#This Row],[Column5]]&amp;")"</f>
        <v>P4-TBSI1-M14(11)</v>
      </c>
      <c r="G30" s="30"/>
      <c r="H30" s="30"/>
      <c r="I30" s="31" t="s">
        <v>317</v>
      </c>
      <c r="J30" s="33" t="s">
        <v>299</v>
      </c>
      <c r="K30" s="31" t="s">
        <v>297</v>
      </c>
      <c r="L30" s="31" t="s">
        <v>297</v>
      </c>
      <c r="M30" s="30" t="str">
        <f>IF(Table2[[#This Row],[Need Mark]]="Y",I30&amp;"-"&amp;J30&amp;"/"&amp;F30,"-")</f>
        <v>-</v>
      </c>
      <c r="N30" s="30" t="str">
        <f>IF(Table2[[#This Row],[Need Mark]]="Y",F30&amp;"/"&amp;I30&amp;"-"&amp;J30,"-")</f>
        <v>-</v>
      </c>
      <c r="O30" s="30" t="str">
        <f>Table2[[#This Row],[Column3]]</f>
        <v>PNF-HiC2821</v>
      </c>
      <c r="P30" s="29" t="s">
        <v>4</v>
      </c>
      <c r="Q30" s="29" t="s">
        <v>68</v>
      </c>
      <c r="R30" s="29" t="s">
        <v>67</v>
      </c>
      <c r="S30" s="29" t="s">
        <v>32</v>
      </c>
      <c r="T30" s="29" t="s">
        <v>31</v>
      </c>
    </row>
    <row r="31" spans="1:20">
      <c r="A31" s="30" t="s">
        <v>296</v>
      </c>
      <c r="B31" s="30" t="s">
        <v>295</v>
      </c>
      <c r="C31" s="30" t="s">
        <v>285</v>
      </c>
      <c r="D31" s="30" t="s">
        <v>15</v>
      </c>
      <c r="E31" s="30">
        <v>14</v>
      </c>
      <c r="F31" s="30" t="str">
        <f>A31&amp;"-"&amp;B31&amp;"-"&amp;D31&amp;"("&amp;Table2[[#This Row],[Column5]]&amp;")"</f>
        <v>P4-TBSI1-M15(14)</v>
      </c>
      <c r="G31" s="30" t="s">
        <v>315</v>
      </c>
      <c r="H31" s="30"/>
      <c r="I31" s="31" t="s">
        <v>121</v>
      </c>
      <c r="J31" s="33">
        <v>15</v>
      </c>
      <c r="K31" s="31" t="s">
        <v>293</v>
      </c>
      <c r="L31" s="30" t="s">
        <v>66</v>
      </c>
      <c r="M31" s="30" t="str">
        <f>IF(Table2[[#This Row],[Need Mark]]="Y",I31&amp;"-"&amp;J31&amp;"/"&amp;F31,"-")</f>
        <v>C4S1-15/P4-TBSI1-M15(14)</v>
      </c>
      <c r="N31" s="30" t="str">
        <f>IF(Table2[[#This Row],[Need Mark]]="Y",F31&amp;"/"&amp;I31&amp;"-"&amp;J31,"-")</f>
        <v>P4-TBSI1-M15(14)/C4S1-15</v>
      </c>
      <c r="O31" s="30" t="str">
        <f>Table2[[#This Row],[Column3]]</f>
        <v>PNF-HiC2821</v>
      </c>
      <c r="P31" s="30" t="s">
        <v>4</v>
      </c>
      <c r="Q31" s="30" t="s">
        <v>65</v>
      </c>
      <c r="R31" s="30" t="s">
        <v>64</v>
      </c>
      <c r="S31" s="30" t="s">
        <v>32</v>
      </c>
      <c r="T31" s="34" t="s">
        <v>31</v>
      </c>
    </row>
    <row r="32" spans="1:20">
      <c r="A32" s="30" t="s">
        <v>296</v>
      </c>
      <c r="B32" s="30" t="s">
        <v>295</v>
      </c>
      <c r="C32" s="30" t="s">
        <v>285</v>
      </c>
      <c r="D32" s="30" t="str">
        <f>D31</f>
        <v>M15</v>
      </c>
      <c r="E32" s="30">
        <v>11</v>
      </c>
      <c r="F32" s="30" t="str">
        <f>A32&amp;"-"&amp;B32&amp;"-"&amp;D32&amp;"("&amp;Table2[[#This Row],[Column5]]&amp;")"</f>
        <v>P4-TBSI1-M15(11)</v>
      </c>
      <c r="G32" s="30"/>
      <c r="H32" s="30"/>
      <c r="I32" s="31" t="s">
        <v>317</v>
      </c>
      <c r="J32" s="33" t="s">
        <v>299</v>
      </c>
      <c r="K32" s="31" t="s">
        <v>297</v>
      </c>
      <c r="L32" s="31" t="s">
        <v>297</v>
      </c>
      <c r="M32" s="30" t="str">
        <f>IF(Table2[[#This Row],[Need Mark]]="Y",I32&amp;"-"&amp;J32&amp;"/"&amp;F32,"-")</f>
        <v>-</v>
      </c>
      <c r="N32" s="30" t="str">
        <f>IF(Table2[[#This Row],[Need Mark]]="Y",F32&amp;"/"&amp;I32&amp;"-"&amp;J32,"-")</f>
        <v>-</v>
      </c>
      <c r="O32" s="30" t="str">
        <f>Table2[[#This Row],[Column3]]</f>
        <v>PNF-HiC2821</v>
      </c>
      <c r="P32" s="29" t="s">
        <v>4</v>
      </c>
      <c r="Q32" s="29" t="s">
        <v>65</v>
      </c>
      <c r="R32" s="29" t="s">
        <v>64</v>
      </c>
      <c r="S32" s="29" t="s">
        <v>32</v>
      </c>
      <c r="T32" s="29" t="s">
        <v>31</v>
      </c>
    </row>
    <row r="33" spans="1:20">
      <c r="A33" s="30" t="s">
        <v>296</v>
      </c>
      <c r="B33" s="30" t="s">
        <v>295</v>
      </c>
      <c r="C33" s="30" t="s">
        <v>285</v>
      </c>
      <c r="D33" s="30" t="s">
        <v>12</v>
      </c>
      <c r="E33" s="30">
        <v>14</v>
      </c>
      <c r="F33" s="30" t="str">
        <f>A33&amp;"-"&amp;B33&amp;"-"&amp;D33&amp;"("&amp;Table2[[#This Row],[Column5]]&amp;")"</f>
        <v>P4-TBSI1-M16(14)</v>
      </c>
      <c r="G33" s="30" t="s">
        <v>315</v>
      </c>
      <c r="H33" s="30"/>
      <c r="I33" s="31" t="s">
        <v>121</v>
      </c>
      <c r="J33" s="33">
        <v>16</v>
      </c>
      <c r="K33" s="31" t="s">
        <v>293</v>
      </c>
      <c r="L33" s="30" t="s">
        <v>63</v>
      </c>
      <c r="M33" s="30" t="str">
        <f>IF(Table2[[#This Row],[Need Mark]]="Y",I33&amp;"-"&amp;J33&amp;"/"&amp;F33,"-")</f>
        <v>C4S1-16/P4-TBSI1-M16(14)</v>
      </c>
      <c r="N33" s="30" t="str">
        <f>IF(Table2[[#This Row],[Need Mark]]="Y",F33&amp;"/"&amp;I33&amp;"-"&amp;J33,"-")</f>
        <v>P4-TBSI1-M16(14)/C4S1-16</v>
      </c>
      <c r="O33" s="30" t="str">
        <f>Table2[[#This Row],[Column3]]</f>
        <v>PNF-HiC2821</v>
      </c>
      <c r="P33" s="30" t="s">
        <v>11</v>
      </c>
      <c r="Q33" s="30" t="s">
        <v>58</v>
      </c>
      <c r="R33" s="30" t="s">
        <v>57</v>
      </c>
      <c r="S33" s="30" t="s">
        <v>32</v>
      </c>
      <c r="T33" s="34" t="s">
        <v>31</v>
      </c>
    </row>
    <row r="34" spans="1:20">
      <c r="A34" s="30" t="s">
        <v>296</v>
      </c>
      <c r="B34" s="30" t="s">
        <v>295</v>
      </c>
      <c r="C34" s="30" t="s">
        <v>285</v>
      </c>
      <c r="D34" s="30" t="str">
        <f>D33</f>
        <v>M16</v>
      </c>
      <c r="E34" s="30">
        <v>11</v>
      </c>
      <c r="F34" s="30" t="str">
        <f>A34&amp;"-"&amp;B34&amp;"-"&amp;D34&amp;"("&amp;Table2[[#This Row],[Column5]]&amp;")"</f>
        <v>P4-TBSI1-M16(11)</v>
      </c>
      <c r="G34" s="30"/>
      <c r="H34" s="30"/>
      <c r="I34" s="31" t="s">
        <v>317</v>
      </c>
      <c r="J34" s="33" t="s">
        <v>299</v>
      </c>
      <c r="K34" s="31" t="s">
        <v>297</v>
      </c>
      <c r="L34" s="31" t="s">
        <v>297</v>
      </c>
      <c r="M34" s="30" t="str">
        <f>IF(Table2[[#This Row],[Need Mark]]="Y",I34&amp;"-"&amp;J34&amp;"/"&amp;F34,"-")</f>
        <v>-</v>
      </c>
      <c r="N34" s="30" t="str">
        <f>IF(Table2[[#This Row],[Need Mark]]="Y",F34&amp;"/"&amp;I34&amp;"-"&amp;J34,"-")</f>
        <v>-</v>
      </c>
      <c r="O34" s="30" t="str">
        <f>Table2[[#This Row],[Column3]]</f>
        <v>PNF-HiC2821</v>
      </c>
      <c r="P34" s="29" t="s">
        <v>11</v>
      </c>
      <c r="Q34" s="29" t="s">
        <v>58</v>
      </c>
      <c r="R34" s="29" t="s">
        <v>57</v>
      </c>
      <c r="S34" s="29" t="s">
        <v>32</v>
      </c>
      <c r="T34" s="29" t="s">
        <v>31</v>
      </c>
    </row>
    <row r="35" spans="1:20">
      <c r="A35" s="30" t="s">
        <v>296</v>
      </c>
      <c r="B35" s="30" t="s">
        <v>298</v>
      </c>
      <c r="C35" s="30" t="s">
        <v>285</v>
      </c>
      <c r="D35" s="30" t="s">
        <v>59</v>
      </c>
      <c r="E35" s="30">
        <v>14</v>
      </c>
      <c r="F35" s="30" t="str">
        <f>A35&amp;"-"&amp;B35&amp;"-"&amp;D35&amp;"("&amp;Table2[[#This Row],[Column5]]&amp;")"</f>
        <v>P4-TBSI2-M1(14)</v>
      </c>
      <c r="G35" s="30" t="s">
        <v>315</v>
      </c>
      <c r="H35" s="30"/>
      <c r="I35" s="31" t="s">
        <v>121</v>
      </c>
      <c r="J35" s="33">
        <v>19</v>
      </c>
      <c r="K35" s="31" t="s">
        <v>293</v>
      </c>
      <c r="L35" s="30" t="s">
        <v>60</v>
      </c>
      <c r="M35" s="30" t="str">
        <f>IF(Table2[[#This Row],[Need Mark]]="Y",I35&amp;"-"&amp;J35&amp;"/"&amp;F35,"-")</f>
        <v>C4S1-19/P4-TBSI2-M1(14)</v>
      </c>
      <c r="N35" s="30" t="str">
        <f>IF(Table2[[#This Row],[Need Mark]]="Y",F35&amp;"/"&amp;I35&amp;"-"&amp;J35,"-")</f>
        <v>P4-TBSI2-M1(14)/C4S1-19</v>
      </c>
      <c r="O35" s="30" t="str">
        <f>Table2[[#This Row],[Column3]]</f>
        <v>PNF-HiC2821</v>
      </c>
      <c r="P35" s="30" t="s">
        <v>11</v>
      </c>
      <c r="Q35" s="30" t="s">
        <v>54</v>
      </c>
      <c r="R35" s="30" t="s">
        <v>53</v>
      </c>
      <c r="S35" s="30" t="s">
        <v>32</v>
      </c>
      <c r="T35" s="34" t="s">
        <v>31</v>
      </c>
    </row>
    <row r="36" spans="1:20">
      <c r="A36" s="30" t="s">
        <v>296</v>
      </c>
      <c r="B36" s="30" t="s">
        <v>298</v>
      </c>
      <c r="C36" s="30" t="s">
        <v>285</v>
      </c>
      <c r="D36" s="30" t="str">
        <f>D35</f>
        <v>M1</v>
      </c>
      <c r="E36" s="30">
        <v>11</v>
      </c>
      <c r="F36" s="30" t="str">
        <f>A36&amp;"-"&amp;B36&amp;"-"&amp;D36&amp;"("&amp;Table2[[#This Row],[Column5]]&amp;")"</f>
        <v>P4-TBSI2-M1(11)</v>
      </c>
      <c r="G36" s="30" t="s">
        <v>315</v>
      </c>
      <c r="H36" s="30"/>
      <c r="I36" s="31" t="s">
        <v>317</v>
      </c>
      <c r="J36" s="33" t="s">
        <v>313</v>
      </c>
      <c r="K36" s="31" t="s">
        <v>297</v>
      </c>
      <c r="L36" s="31" t="s">
        <v>297</v>
      </c>
      <c r="M36" s="30" t="str">
        <f>IF(Table2[[#This Row],[Need Mark]]="Y",I36&amp;"-"&amp;J36&amp;"/"&amp;F36,"-")</f>
        <v>TB-24VDC-2(2)/P4-TBSI2-M1(11)</v>
      </c>
      <c r="N36" s="30" t="str">
        <f>IF(Table2[[#This Row],[Need Mark]]="Y",F36&amp;"/"&amp;I36&amp;"-"&amp;J36,"-")</f>
        <v>P4-TBSI2-M1(11)/TB-24VDC-2(2)</v>
      </c>
      <c r="O36" s="30" t="str">
        <f>Table2[[#This Row],[Column3]]</f>
        <v>PNF-HiC2821</v>
      </c>
      <c r="P36" s="29" t="s">
        <v>11</v>
      </c>
      <c r="Q36" s="29" t="s">
        <v>54</v>
      </c>
      <c r="R36" s="29" t="s">
        <v>53</v>
      </c>
      <c r="S36" s="29" t="s">
        <v>32</v>
      </c>
      <c r="T36" s="29" t="s">
        <v>31</v>
      </c>
    </row>
    <row r="37" spans="1:20">
      <c r="A37" s="30" t="s">
        <v>296</v>
      </c>
      <c r="B37" s="30" t="s">
        <v>298</v>
      </c>
      <c r="C37" s="30" t="s">
        <v>285</v>
      </c>
      <c r="D37" s="30" t="s">
        <v>55</v>
      </c>
      <c r="E37" s="30">
        <v>14</v>
      </c>
      <c r="F37" s="30" t="str">
        <f>A37&amp;"-"&amp;B37&amp;"-"&amp;D37&amp;"("&amp;Table2[[#This Row],[Column5]]&amp;")"</f>
        <v>P4-TBSI2-M2(14)</v>
      </c>
      <c r="G37" s="30" t="s">
        <v>315</v>
      </c>
      <c r="H37" s="30"/>
      <c r="I37" s="31" t="s">
        <v>121</v>
      </c>
      <c r="J37" s="33">
        <v>20</v>
      </c>
      <c r="K37" s="31" t="s">
        <v>293</v>
      </c>
      <c r="L37" s="30" t="s">
        <v>56</v>
      </c>
      <c r="M37" s="30" t="str">
        <f>IF(Table2[[#This Row],[Need Mark]]="Y",I37&amp;"-"&amp;J37&amp;"/"&amp;F37,"-")</f>
        <v>C4S1-20/P4-TBSI2-M2(14)</v>
      </c>
      <c r="N37" s="30" t="str">
        <f>IF(Table2[[#This Row],[Need Mark]]="Y",F37&amp;"/"&amp;I37&amp;"-"&amp;J37,"-")</f>
        <v>P4-TBSI2-M2(14)/C4S1-20</v>
      </c>
      <c r="O37" s="30" t="str">
        <f>Table2[[#This Row],[Column3]]</f>
        <v>PNF-HiC2821</v>
      </c>
      <c r="P37" s="30" t="s">
        <v>11</v>
      </c>
      <c r="Q37" s="30" t="s">
        <v>50</v>
      </c>
      <c r="R37" s="30" t="s">
        <v>49</v>
      </c>
      <c r="S37" s="30" t="s">
        <v>32</v>
      </c>
      <c r="T37" s="34" t="s">
        <v>31</v>
      </c>
    </row>
    <row r="38" spans="1:20">
      <c r="A38" s="30" t="s">
        <v>296</v>
      </c>
      <c r="B38" s="30" t="s">
        <v>298</v>
      </c>
      <c r="C38" s="30" t="s">
        <v>285</v>
      </c>
      <c r="D38" s="30" t="str">
        <f>D37</f>
        <v>M2</v>
      </c>
      <c r="E38" s="30">
        <v>11</v>
      </c>
      <c r="F38" s="30" t="str">
        <f>A38&amp;"-"&amp;B38&amp;"-"&amp;D38&amp;"("&amp;Table2[[#This Row],[Column5]]&amp;")"</f>
        <v>P4-TBSI2-M2(11)</v>
      </c>
      <c r="G38" s="30"/>
      <c r="H38" s="30"/>
      <c r="I38" s="31" t="s">
        <v>317</v>
      </c>
      <c r="J38" s="33" t="s">
        <v>313</v>
      </c>
      <c r="K38" s="31" t="s">
        <v>297</v>
      </c>
      <c r="L38" s="31" t="s">
        <v>297</v>
      </c>
      <c r="M38" s="30" t="str">
        <f>IF(Table2[[#This Row],[Need Mark]]="Y",I38&amp;"-"&amp;J38&amp;"/"&amp;F38,"-")</f>
        <v>-</v>
      </c>
      <c r="N38" s="30" t="str">
        <f>IF(Table2[[#This Row],[Need Mark]]="Y",F38&amp;"/"&amp;I38&amp;"-"&amp;J38,"-")</f>
        <v>-</v>
      </c>
      <c r="O38" s="30" t="str">
        <f>Table2[[#This Row],[Column3]]</f>
        <v>PNF-HiC2821</v>
      </c>
      <c r="P38" s="29" t="s">
        <v>11</v>
      </c>
      <c r="Q38" s="29" t="s">
        <v>50</v>
      </c>
      <c r="R38" s="29" t="s">
        <v>49</v>
      </c>
      <c r="S38" s="29" t="s">
        <v>32</v>
      </c>
      <c r="T38" s="29" t="s">
        <v>31</v>
      </c>
    </row>
    <row r="39" spans="1:20">
      <c r="A39" s="30" t="s">
        <v>296</v>
      </c>
      <c r="B39" s="30" t="s">
        <v>298</v>
      </c>
      <c r="C39" s="30" t="s">
        <v>285</v>
      </c>
      <c r="D39" s="30" t="s">
        <v>55</v>
      </c>
      <c r="E39" s="30">
        <v>14</v>
      </c>
      <c r="F39" s="30" t="str">
        <f>A39&amp;"-"&amp;B39&amp;"-"&amp;D39&amp;"("&amp;Table2[[#This Row],[Column5]]&amp;")"</f>
        <v>P4-TBSI2-M2(14)</v>
      </c>
      <c r="G39" s="30" t="s">
        <v>315</v>
      </c>
      <c r="H39" s="30"/>
      <c r="I39" s="31" t="s">
        <v>121</v>
      </c>
      <c r="J39" s="33">
        <v>21</v>
      </c>
      <c r="K39" s="31" t="s">
        <v>293</v>
      </c>
      <c r="L39" s="30" t="s">
        <v>52</v>
      </c>
      <c r="M39" s="30" t="str">
        <f>IF(Table2[[#This Row],[Need Mark]]="Y",I39&amp;"-"&amp;J39&amp;"/"&amp;F39,"-")</f>
        <v>C4S1-21/P4-TBSI2-M2(14)</v>
      </c>
      <c r="N39" s="30" t="str">
        <f>IF(Table2[[#This Row],[Need Mark]]="Y",F39&amp;"/"&amp;I39&amp;"-"&amp;J39,"-")</f>
        <v>P4-TBSI2-M2(14)/C4S1-21</v>
      </c>
      <c r="O39" s="30" t="str">
        <f>Table2[[#This Row],[Column3]]</f>
        <v>PNF-HiC2821</v>
      </c>
      <c r="P39" s="30" t="s">
        <v>11</v>
      </c>
      <c r="Q39" s="30" t="s">
        <v>46</v>
      </c>
      <c r="R39" s="30" t="s">
        <v>45</v>
      </c>
      <c r="S39" s="30" t="s">
        <v>32</v>
      </c>
      <c r="T39" s="34" t="s">
        <v>31</v>
      </c>
    </row>
    <row r="40" spans="1:20">
      <c r="A40" s="30" t="s">
        <v>296</v>
      </c>
      <c r="B40" s="30" t="s">
        <v>298</v>
      </c>
      <c r="C40" s="30" t="s">
        <v>285</v>
      </c>
      <c r="D40" s="30" t="str">
        <f>D39</f>
        <v>M2</v>
      </c>
      <c r="E40" s="30">
        <v>11</v>
      </c>
      <c r="F40" s="30" t="str">
        <f>A40&amp;"-"&amp;B40&amp;"-"&amp;D40&amp;"("&amp;Table2[[#This Row],[Column5]]&amp;")"</f>
        <v>P4-TBSI2-M2(11)</v>
      </c>
      <c r="G40" s="30"/>
      <c r="H40" s="30"/>
      <c r="I40" s="31" t="s">
        <v>317</v>
      </c>
      <c r="J40" s="33" t="s">
        <v>313</v>
      </c>
      <c r="K40" s="31" t="s">
        <v>297</v>
      </c>
      <c r="L40" s="31" t="s">
        <v>297</v>
      </c>
      <c r="M40" s="30" t="str">
        <f>IF(Table2[[#This Row],[Need Mark]]="Y",I40&amp;"-"&amp;J40&amp;"/"&amp;F40,"-")</f>
        <v>-</v>
      </c>
      <c r="N40" s="30" t="str">
        <f>IF(Table2[[#This Row],[Need Mark]]="Y",F40&amp;"/"&amp;I40&amp;"-"&amp;J40,"-")</f>
        <v>-</v>
      </c>
      <c r="O40" s="30" t="str">
        <f>Table2[[#This Row],[Column3]]</f>
        <v>PNF-HiC2821</v>
      </c>
      <c r="P40" s="29" t="s">
        <v>11</v>
      </c>
      <c r="Q40" s="29" t="s">
        <v>46</v>
      </c>
      <c r="R40" s="29" t="s">
        <v>45</v>
      </c>
      <c r="S40" s="29" t="s">
        <v>32</v>
      </c>
      <c r="T40" s="29" t="s">
        <v>31</v>
      </c>
    </row>
    <row r="41" spans="1:20">
      <c r="A41" s="30" t="s">
        <v>296</v>
      </c>
      <c r="B41" s="30" t="s">
        <v>298</v>
      </c>
      <c r="C41" s="30" t="s">
        <v>285</v>
      </c>
      <c r="D41" s="30" t="s">
        <v>51</v>
      </c>
      <c r="E41" s="30">
        <v>14</v>
      </c>
      <c r="F41" s="30" t="str">
        <f>A41&amp;"-"&amp;B41&amp;"-"&amp;D41&amp;"("&amp;Table2[[#This Row],[Column5]]&amp;")"</f>
        <v>P4-TBSI2-M3(14)</v>
      </c>
      <c r="G41" s="30" t="s">
        <v>315</v>
      </c>
      <c r="H41" s="30"/>
      <c r="I41" s="31" t="s">
        <v>121</v>
      </c>
      <c r="J41" s="33">
        <v>22</v>
      </c>
      <c r="K41" s="31" t="s">
        <v>293</v>
      </c>
      <c r="L41" s="30" t="s">
        <v>48</v>
      </c>
      <c r="M41" s="30" t="str">
        <f>IF(Table2[[#This Row],[Need Mark]]="Y",I41&amp;"-"&amp;J41&amp;"/"&amp;F41,"-")</f>
        <v>C4S1-22/P4-TBSI2-M3(14)</v>
      </c>
      <c r="N41" s="30" t="str">
        <f>IF(Table2[[#This Row],[Need Mark]]="Y",F41&amp;"/"&amp;I41&amp;"-"&amp;J41,"-")</f>
        <v>P4-TBSI2-M3(14)/C4S1-22</v>
      </c>
      <c r="O41" s="30" t="str">
        <f>Table2[[#This Row],[Column3]]</f>
        <v>PNF-HiC2821</v>
      </c>
      <c r="P41" s="30" t="s">
        <v>11</v>
      </c>
      <c r="Q41" s="30" t="s">
        <v>42</v>
      </c>
      <c r="R41" s="30" t="s">
        <v>41</v>
      </c>
      <c r="S41" s="30" t="s">
        <v>32</v>
      </c>
      <c r="T41" s="34" t="s">
        <v>31</v>
      </c>
    </row>
    <row r="42" spans="1:20">
      <c r="A42" s="30" t="s">
        <v>296</v>
      </c>
      <c r="B42" s="30" t="s">
        <v>298</v>
      </c>
      <c r="C42" s="30" t="s">
        <v>285</v>
      </c>
      <c r="D42" s="30" t="str">
        <f>D41</f>
        <v>M3</v>
      </c>
      <c r="E42" s="30">
        <v>11</v>
      </c>
      <c r="F42" s="30" t="str">
        <f>A42&amp;"-"&amp;B42&amp;"-"&amp;D42&amp;"("&amp;Table2[[#This Row],[Column5]]&amp;")"</f>
        <v>P4-TBSI2-M3(11)</v>
      </c>
      <c r="G42" s="30"/>
      <c r="H42" s="30"/>
      <c r="I42" s="31" t="s">
        <v>317</v>
      </c>
      <c r="J42" s="33" t="s">
        <v>313</v>
      </c>
      <c r="K42" s="31" t="s">
        <v>297</v>
      </c>
      <c r="L42" s="31" t="s">
        <v>297</v>
      </c>
      <c r="M42" s="30" t="str">
        <f>IF(Table2[[#This Row],[Need Mark]]="Y",I42&amp;"-"&amp;J42&amp;"/"&amp;F42,"-")</f>
        <v>-</v>
      </c>
      <c r="N42" s="30" t="str">
        <f>IF(Table2[[#This Row],[Need Mark]]="Y",F42&amp;"/"&amp;I42&amp;"-"&amp;J42,"-")</f>
        <v>-</v>
      </c>
      <c r="O42" s="30" t="str">
        <f>Table2[[#This Row],[Column3]]</f>
        <v>PNF-HiC2821</v>
      </c>
      <c r="P42" s="29" t="s">
        <v>11</v>
      </c>
      <c r="Q42" s="29" t="s">
        <v>42</v>
      </c>
      <c r="R42" s="29" t="s">
        <v>41</v>
      </c>
      <c r="S42" s="29" t="s">
        <v>32</v>
      </c>
      <c r="T42" s="29" t="s">
        <v>31</v>
      </c>
    </row>
    <row r="43" spans="1:20">
      <c r="A43" s="30" t="s">
        <v>296</v>
      </c>
      <c r="B43" s="30" t="s">
        <v>298</v>
      </c>
      <c r="C43" s="30" t="s">
        <v>285</v>
      </c>
      <c r="D43" s="30" t="s">
        <v>43</v>
      </c>
      <c r="E43" s="30">
        <v>14</v>
      </c>
      <c r="F43" s="30" t="str">
        <f>A43&amp;"-"&amp;B43&amp;"-"&amp;D43&amp;"("&amp;Table2[[#This Row],[Column5]]&amp;")"</f>
        <v>P4-TBSI2-M5(14)</v>
      </c>
      <c r="G43" s="30" t="s">
        <v>315</v>
      </c>
      <c r="H43" s="30"/>
      <c r="I43" s="31" t="s">
        <v>121</v>
      </c>
      <c r="J43" s="33">
        <v>23</v>
      </c>
      <c r="K43" s="31" t="s">
        <v>293</v>
      </c>
      <c r="L43" s="30" t="s">
        <v>44</v>
      </c>
      <c r="M43" s="30" t="str">
        <f>IF(Table2[[#This Row],[Need Mark]]="Y",I43&amp;"-"&amp;J43&amp;"/"&amp;F43,"-")</f>
        <v>C4S1-23/P4-TBSI2-M5(14)</v>
      </c>
      <c r="N43" s="30" t="str">
        <f>IF(Table2[[#This Row],[Need Mark]]="Y",F43&amp;"/"&amp;I43&amp;"-"&amp;J43,"-")</f>
        <v>P4-TBSI2-M5(14)/C4S1-23</v>
      </c>
      <c r="O43" s="30" t="str">
        <f>Table2[[#This Row],[Column3]]</f>
        <v>PNF-HiC2821</v>
      </c>
      <c r="P43" s="30" t="s">
        <v>11</v>
      </c>
      <c r="Q43" s="30" t="s">
        <v>38</v>
      </c>
      <c r="R43" s="30" t="s">
        <v>37</v>
      </c>
      <c r="S43" s="30" t="s">
        <v>32</v>
      </c>
      <c r="T43" s="34" t="s">
        <v>31</v>
      </c>
    </row>
    <row r="44" spans="1:20">
      <c r="A44" s="30" t="s">
        <v>296</v>
      </c>
      <c r="B44" s="30" t="s">
        <v>298</v>
      </c>
      <c r="C44" s="30" t="s">
        <v>285</v>
      </c>
      <c r="D44" s="30" t="str">
        <f>D43</f>
        <v>M5</v>
      </c>
      <c r="E44" s="30">
        <v>11</v>
      </c>
      <c r="F44" s="30" t="str">
        <f>A44&amp;"-"&amp;B44&amp;"-"&amp;D44&amp;"("&amp;Table2[[#This Row],[Column5]]&amp;")"</f>
        <v>P4-TBSI2-M5(11)</v>
      </c>
      <c r="G44" s="30"/>
      <c r="H44" s="30"/>
      <c r="I44" s="31" t="s">
        <v>317</v>
      </c>
      <c r="J44" s="33" t="s">
        <v>313</v>
      </c>
      <c r="K44" s="31" t="s">
        <v>297</v>
      </c>
      <c r="L44" s="31" t="s">
        <v>297</v>
      </c>
      <c r="M44" s="30" t="str">
        <f>IF(Table2[[#This Row],[Need Mark]]="Y",I44&amp;"-"&amp;J44&amp;"/"&amp;F44,"-")</f>
        <v>-</v>
      </c>
      <c r="N44" s="30" t="str">
        <f>IF(Table2[[#This Row],[Need Mark]]="Y",F44&amp;"/"&amp;I44&amp;"-"&amp;J44,"-")</f>
        <v>-</v>
      </c>
      <c r="O44" s="30" t="str">
        <f>Table2[[#This Row],[Column3]]</f>
        <v>PNF-HiC2821</v>
      </c>
      <c r="P44" s="29" t="s">
        <v>11</v>
      </c>
      <c r="Q44" s="29" t="s">
        <v>38</v>
      </c>
      <c r="R44" s="29" t="s">
        <v>37</v>
      </c>
      <c r="S44" s="29" t="s">
        <v>32</v>
      </c>
      <c r="T44" s="29" t="s">
        <v>31</v>
      </c>
    </row>
    <row r="45" spans="1:20">
      <c r="A45" s="30" t="s">
        <v>296</v>
      </c>
      <c r="B45" s="30" t="s">
        <v>298</v>
      </c>
      <c r="C45" s="30" t="s">
        <v>285</v>
      </c>
      <c r="D45" s="30" t="s">
        <v>39</v>
      </c>
      <c r="E45" s="30">
        <v>14</v>
      </c>
      <c r="F45" s="30" t="str">
        <f>A45&amp;"-"&amp;B45&amp;"-"&amp;D45&amp;"("&amp;Table2[[#This Row],[Column5]]&amp;")"</f>
        <v>P4-TBSI2-M6(14)</v>
      </c>
      <c r="G45" s="30" t="s">
        <v>315</v>
      </c>
      <c r="H45" s="30"/>
      <c r="I45" s="31" t="s">
        <v>121</v>
      </c>
      <c r="J45" s="33">
        <v>24</v>
      </c>
      <c r="K45" s="31" t="s">
        <v>293</v>
      </c>
      <c r="L45" s="30" t="s">
        <v>40</v>
      </c>
      <c r="M45" s="30" t="str">
        <f>IF(Table2[[#This Row],[Need Mark]]="Y",I45&amp;"-"&amp;J45&amp;"/"&amp;F45,"-")</f>
        <v>C4S1-24/P4-TBSI2-M6(14)</v>
      </c>
      <c r="N45" s="30" t="str">
        <f>IF(Table2[[#This Row],[Need Mark]]="Y",F45&amp;"/"&amp;I45&amp;"-"&amp;J45,"-")</f>
        <v>P4-TBSI2-M6(14)/C4S1-24</v>
      </c>
      <c r="O45" s="30" t="str">
        <f>Table2[[#This Row],[Column3]]</f>
        <v>PNF-HiC2821</v>
      </c>
      <c r="P45" s="30" t="s">
        <v>11</v>
      </c>
      <c r="Q45" s="30" t="s">
        <v>34</v>
      </c>
      <c r="R45" s="30" t="s">
        <v>33</v>
      </c>
      <c r="S45" s="30" t="s">
        <v>32</v>
      </c>
      <c r="T45" s="34" t="s">
        <v>31</v>
      </c>
    </row>
    <row r="46" spans="1:20">
      <c r="A46" s="30" t="s">
        <v>296</v>
      </c>
      <c r="B46" s="30" t="s">
        <v>298</v>
      </c>
      <c r="C46" s="30" t="s">
        <v>285</v>
      </c>
      <c r="D46" s="30" t="str">
        <f>D45</f>
        <v>M6</v>
      </c>
      <c r="E46" s="30">
        <v>11</v>
      </c>
      <c r="F46" s="30" t="str">
        <f>A46&amp;"-"&amp;B46&amp;"-"&amp;D46&amp;"("&amp;Table2[[#This Row],[Column5]]&amp;")"</f>
        <v>P4-TBSI2-M6(11)</v>
      </c>
      <c r="G46" s="30"/>
      <c r="H46" s="30"/>
      <c r="I46" s="31" t="s">
        <v>317</v>
      </c>
      <c r="J46" s="33" t="s">
        <v>313</v>
      </c>
      <c r="K46" s="31" t="s">
        <v>297</v>
      </c>
      <c r="L46" s="30" t="s">
        <v>297</v>
      </c>
      <c r="M46" s="30" t="str">
        <f>IF(Table2[[#This Row],[Need Mark]]="Y",I46&amp;"-"&amp;J46&amp;"/"&amp;F46,"-")</f>
        <v>-</v>
      </c>
      <c r="N46" s="30" t="str">
        <f>IF(Table2[[#This Row],[Need Mark]]="Y",F46&amp;"/"&amp;I46&amp;"-"&amp;J46,"-")</f>
        <v>-</v>
      </c>
      <c r="O46" s="30" t="str">
        <f>Table2[[#This Row],[Column3]]</f>
        <v>PNF-HiC2821</v>
      </c>
      <c r="P46" s="30" t="s">
        <v>11</v>
      </c>
      <c r="Q46" s="30" t="s">
        <v>34</v>
      </c>
      <c r="R46" s="30" t="s">
        <v>33</v>
      </c>
      <c r="S46" s="30" t="s">
        <v>32</v>
      </c>
      <c r="T46" s="34" t="s">
        <v>31</v>
      </c>
    </row>
    <row r="47" spans="1:20">
      <c r="A47" s="30" t="s">
        <v>296</v>
      </c>
      <c r="B47" s="30" t="s">
        <v>298</v>
      </c>
      <c r="C47" s="30" t="s">
        <v>285</v>
      </c>
      <c r="D47" s="30" t="s">
        <v>35</v>
      </c>
      <c r="E47" s="30">
        <v>14</v>
      </c>
      <c r="F47" s="30" t="str">
        <f>A47&amp;"-"&amp;B47&amp;"-"&amp;D47&amp;"("&amp;Table2[[#This Row],[Column5]]&amp;")"</f>
        <v>P4-TBSI2-M7(14)</v>
      </c>
      <c r="G47" s="30" t="s">
        <v>315</v>
      </c>
      <c r="H47" s="30"/>
      <c r="I47" s="31" t="s">
        <v>121</v>
      </c>
      <c r="J47" s="33">
        <v>25</v>
      </c>
      <c r="K47" s="31" t="s">
        <v>293</v>
      </c>
      <c r="L47" s="30" t="s">
        <v>36</v>
      </c>
      <c r="M47" s="30" t="str">
        <f>IF(Table2[[#This Row],[Need Mark]]="Y",I47&amp;"-"&amp;J47&amp;"/"&amp;F47,"-")</f>
        <v>C4S1-25/P4-TBSI2-M7(14)</v>
      </c>
      <c r="N47" s="30" t="str">
        <f>IF(Table2[[#This Row],[Need Mark]]="Y",F47&amp;"/"&amp;I47&amp;"-"&amp;J47,"-")</f>
        <v>P4-TBSI2-M7(14)/C4S1-25</v>
      </c>
      <c r="O47" s="30" t="str">
        <f>Table2[[#This Row],[Column3]]</f>
        <v>PNF-HiC2821</v>
      </c>
      <c r="P47" s="30" t="s">
        <v>125</v>
      </c>
      <c r="Q47" s="30" t="s">
        <v>199</v>
      </c>
      <c r="R47" s="30" t="s">
        <v>198</v>
      </c>
      <c r="S47" s="30" t="s">
        <v>32</v>
      </c>
      <c r="T47" s="34" t="s">
        <v>31</v>
      </c>
    </row>
    <row r="48" spans="1:20">
      <c r="A48" s="30" t="s">
        <v>296</v>
      </c>
      <c r="B48" s="30" t="s">
        <v>298</v>
      </c>
      <c r="C48" s="30" t="s">
        <v>285</v>
      </c>
      <c r="D48" s="30" t="str">
        <f>D47</f>
        <v>M7</v>
      </c>
      <c r="E48" s="30">
        <v>11</v>
      </c>
      <c r="F48" s="30" t="str">
        <f>A48&amp;"-"&amp;B48&amp;"-"&amp;D48&amp;"("&amp;Table2[[#This Row],[Column5]]&amp;")"</f>
        <v>P4-TBSI2-M7(11)</v>
      </c>
      <c r="G48" s="30"/>
      <c r="H48" s="30"/>
      <c r="I48" s="31" t="s">
        <v>317</v>
      </c>
      <c r="J48" s="33" t="s">
        <v>313</v>
      </c>
      <c r="K48" s="31" t="s">
        <v>297</v>
      </c>
      <c r="L48" s="30" t="s">
        <v>297</v>
      </c>
      <c r="M48" s="30" t="str">
        <f>IF(Table2[[#This Row],[Need Mark]]="Y",I48&amp;"-"&amp;J48&amp;"/"&amp;F48,"-")</f>
        <v>-</v>
      </c>
      <c r="N48" s="30" t="str">
        <f>IF(Table2[[#This Row],[Need Mark]]="Y",F48&amp;"/"&amp;I48&amp;"-"&amp;J48,"-")</f>
        <v>-</v>
      </c>
      <c r="O48" s="30" t="str">
        <f>Table2[[#This Row],[Column3]]</f>
        <v>PNF-HiC2821</v>
      </c>
      <c r="P48" s="29" t="str">
        <f>P47</f>
        <v>IS-JB-612</v>
      </c>
      <c r="Q48" s="29" t="str">
        <f t="shared" ref="Q48:T48" si="0">Q47</f>
        <v>ISV-61303_DI_1</v>
      </c>
      <c r="R48" s="29" t="str">
        <f t="shared" si="0"/>
        <v>ISV-61303</v>
      </c>
      <c r="S48" s="29" t="str">
        <f t="shared" si="0"/>
        <v>Process Instrument</v>
      </c>
      <c r="T48" s="29" t="str">
        <f t="shared" si="0"/>
        <v>ACTIVE</v>
      </c>
    </row>
    <row r="49" spans="1:20">
      <c r="A49" s="30" t="s">
        <v>296</v>
      </c>
      <c r="B49" s="30" t="s">
        <v>298</v>
      </c>
      <c r="C49" s="30" t="s">
        <v>285</v>
      </c>
      <c r="D49" s="30" t="s">
        <v>29</v>
      </c>
      <c r="E49" s="30">
        <v>14</v>
      </c>
      <c r="F49" s="30" t="str">
        <f>A49&amp;"-"&amp;B49&amp;"-"&amp;D49&amp;"("&amp;Table2[[#This Row],[Column5]]&amp;")"</f>
        <v>P4-TBSI2-M8(14)</v>
      </c>
      <c r="G49" s="30" t="s">
        <v>315</v>
      </c>
      <c r="H49" s="30"/>
      <c r="I49" s="31" t="s">
        <v>121</v>
      </c>
      <c r="J49" s="33">
        <v>26</v>
      </c>
      <c r="K49" s="31" t="s">
        <v>293</v>
      </c>
      <c r="L49" s="30" t="s">
        <v>30</v>
      </c>
      <c r="M49" s="30" t="str">
        <f>IF(Table2[[#This Row],[Need Mark]]="Y",I49&amp;"-"&amp;J49&amp;"/"&amp;F49,"-")</f>
        <v>C4S1-26/P4-TBSI2-M8(14)</v>
      </c>
      <c r="N49" s="30" t="str">
        <f>IF(Table2[[#This Row],[Need Mark]]="Y",F49&amp;"/"&amp;I49&amp;"-"&amp;J49,"-")</f>
        <v>P4-TBSI2-M8(14)/C4S1-26</v>
      </c>
      <c r="O49" s="30" t="str">
        <f>Table2[[#This Row],[Column3]]</f>
        <v>PNF-HiC2821</v>
      </c>
      <c r="P49" s="29" t="s">
        <v>125</v>
      </c>
      <c r="Q49" s="29" t="s">
        <v>197</v>
      </c>
      <c r="R49" s="29" t="s">
        <v>196</v>
      </c>
      <c r="S49" s="29" t="s">
        <v>32</v>
      </c>
      <c r="T49" s="29" t="s">
        <v>31</v>
      </c>
    </row>
    <row r="50" spans="1:20">
      <c r="A50" s="30" t="s">
        <v>296</v>
      </c>
      <c r="B50" s="30" t="s">
        <v>298</v>
      </c>
      <c r="C50" s="30" t="s">
        <v>285</v>
      </c>
      <c r="D50" s="30" t="str">
        <f>D49</f>
        <v>M8</v>
      </c>
      <c r="E50" s="30">
        <v>11</v>
      </c>
      <c r="F50" s="30" t="str">
        <f>A50&amp;"-"&amp;B50&amp;"-"&amp;D50&amp;"("&amp;Table2[[#This Row],[Column5]]&amp;")"</f>
        <v>P4-TBSI2-M8(11)</v>
      </c>
      <c r="G50" s="30"/>
      <c r="H50" s="30"/>
      <c r="I50" s="31" t="s">
        <v>317</v>
      </c>
      <c r="J50" s="33" t="s">
        <v>313</v>
      </c>
      <c r="K50" s="31" t="s">
        <v>297</v>
      </c>
      <c r="L50" s="30" t="s">
        <v>297</v>
      </c>
      <c r="M50" s="30" t="str">
        <f>IF(Table2[[#This Row],[Need Mark]]="Y",I50&amp;"-"&amp;J50&amp;"/"&amp;F50,"-")</f>
        <v>-</v>
      </c>
      <c r="N50" s="30" t="str">
        <f>IF(Table2[[#This Row],[Need Mark]]="Y",F50&amp;"/"&amp;I50&amp;"-"&amp;J50,"-")</f>
        <v>-</v>
      </c>
      <c r="O50" s="30" t="str">
        <f>Table2[[#This Row],[Column3]]</f>
        <v>PNF-HiC2821</v>
      </c>
      <c r="P50" s="29" t="str">
        <f>P49</f>
        <v>IS-JB-612</v>
      </c>
      <c r="Q50" s="29" t="str">
        <f t="shared" ref="Q50" si="1">Q49</f>
        <v>ISV-61304_DI_1</v>
      </c>
      <c r="R50" s="29" t="str">
        <f t="shared" ref="R50" si="2">R49</f>
        <v>ISV-61304</v>
      </c>
      <c r="S50" s="29" t="str">
        <f t="shared" ref="S50" si="3">S49</f>
        <v>Process Instrument</v>
      </c>
      <c r="T50" s="29" t="str">
        <f t="shared" ref="T50" si="4">T49</f>
        <v>ACTIVE</v>
      </c>
    </row>
    <row r="51" spans="1:20">
      <c r="A51" s="30" t="s">
        <v>296</v>
      </c>
      <c r="B51" s="30" t="s">
        <v>298</v>
      </c>
      <c r="C51" s="30" t="s">
        <v>285</v>
      </c>
      <c r="D51" s="30" t="s">
        <v>27</v>
      </c>
      <c r="E51" s="30">
        <v>14</v>
      </c>
      <c r="F51" s="30" t="str">
        <f>A51&amp;"-"&amp;B51&amp;"-"&amp;D51&amp;"("&amp;Table2[[#This Row],[Column5]]&amp;")"</f>
        <v>P4-TBSI2-M9(14)</v>
      </c>
      <c r="G51" s="30" t="s">
        <v>315</v>
      </c>
      <c r="H51" s="30"/>
      <c r="I51" s="31" t="s">
        <v>121</v>
      </c>
      <c r="J51" s="33">
        <v>27</v>
      </c>
      <c r="K51" s="31" t="s">
        <v>293</v>
      </c>
      <c r="L51" s="30" t="s">
        <v>28</v>
      </c>
      <c r="M51" s="30" t="str">
        <f>IF(Table2[[#This Row],[Need Mark]]="Y",I51&amp;"-"&amp;J51&amp;"/"&amp;F51,"-")</f>
        <v>C4S1-27/P4-TBSI2-M9(14)</v>
      </c>
      <c r="N51" s="30" t="str">
        <f>IF(Table2[[#This Row],[Need Mark]]="Y",F51&amp;"/"&amp;I51&amp;"-"&amp;J51,"-")</f>
        <v>P4-TBSI2-M9(14)/C4S1-27</v>
      </c>
      <c r="O51" s="30" t="str">
        <f>Table2[[#This Row],[Column3]]</f>
        <v>PNF-HiC2821</v>
      </c>
      <c r="P51" s="29" t="s">
        <v>125</v>
      </c>
      <c r="Q51" s="29" t="s">
        <v>195</v>
      </c>
      <c r="R51" s="29" t="s">
        <v>194</v>
      </c>
      <c r="S51" s="29" t="s">
        <v>32</v>
      </c>
      <c r="T51" s="29" t="s">
        <v>31</v>
      </c>
    </row>
    <row r="52" spans="1:20">
      <c r="A52" s="30" t="s">
        <v>296</v>
      </c>
      <c r="B52" s="30" t="s">
        <v>298</v>
      </c>
      <c r="C52" s="30" t="s">
        <v>285</v>
      </c>
      <c r="D52" s="30" t="str">
        <f>D51</f>
        <v>M9</v>
      </c>
      <c r="E52" s="30">
        <v>11</v>
      </c>
      <c r="F52" s="30" t="str">
        <f>A52&amp;"-"&amp;B52&amp;"-"&amp;D52&amp;"("&amp;Table2[[#This Row],[Column5]]&amp;")"</f>
        <v>P4-TBSI2-M9(11)</v>
      </c>
      <c r="G52" s="30"/>
      <c r="H52" s="30"/>
      <c r="I52" s="31" t="s">
        <v>317</v>
      </c>
      <c r="J52" s="33" t="s">
        <v>313</v>
      </c>
      <c r="K52" s="31" t="s">
        <v>297</v>
      </c>
      <c r="L52" s="30" t="s">
        <v>297</v>
      </c>
      <c r="M52" s="30" t="str">
        <f>IF(Table2[[#This Row],[Need Mark]]="Y",I52&amp;"-"&amp;J52&amp;"/"&amp;F52,"-")</f>
        <v>-</v>
      </c>
      <c r="N52" s="30" t="str">
        <f>IF(Table2[[#This Row],[Need Mark]]="Y",F52&amp;"/"&amp;I52&amp;"-"&amp;J52,"-")</f>
        <v>-</v>
      </c>
      <c r="O52" s="30" t="str">
        <f>Table2[[#This Row],[Column3]]</f>
        <v>PNF-HiC2821</v>
      </c>
      <c r="P52" s="29" t="str">
        <f>P51</f>
        <v>IS-JB-612</v>
      </c>
      <c r="Q52" s="29" t="str">
        <f t="shared" ref="Q52" si="5">Q51</f>
        <v>LSH-61304_DI_1</v>
      </c>
      <c r="R52" s="29" t="str">
        <f t="shared" ref="R52" si="6">R51</f>
        <v>LSH-61304</v>
      </c>
      <c r="S52" s="29" t="str">
        <f t="shared" ref="S52" si="7">S51</f>
        <v>Process Instrument</v>
      </c>
      <c r="T52" s="29" t="str">
        <f t="shared" ref="T52" si="8">T51</f>
        <v>ACTIVE</v>
      </c>
    </row>
    <row r="53" spans="1:20">
      <c r="A53" s="30" t="s">
        <v>296</v>
      </c>
      <c r="B53" s="30" t="s">
        <v>298</v>
      </c>
      <c r="C53" s="30" t="s">
        <v>285</v>
      </c>
      <c r="D53" s="30" t="s">
        <v>25</v>
      </c>
      <c r="E53" s="30">
        <v>14</v>
      </c>
      <c r="F53" s="30" t="str">
        <f>A53&amp;"-"&amp;B53&amp;"-"&amp;D53&amp;"("&amp;Table2[[#This Row],[Column5]]&amp;")"</f>
        <v>P4-TBSI2-M10(14)</v>
      </c>
      <c r="G53" s="30" t="s">
        <v>315</v>
      </c>
      <c r="H53" s="30"/>
      <c r="I53" s="31" t="s">
        <v>121</v>
      </c>
      <c r="J53" s="33">
        <v>28</v>
      </c>
      <c r="K53" s="31" t="s">
        <v>293</v>
      </c>
      <c r="L53" s="30" t="s">
        <v>26</v>
      </c>
      <c r="M53" s="30" t="str">
        <f>IF(Table2[[#This Row],[Need Mark]]="Y",I53&amp;"-"&amp;J53&amp;"/"&amp;F53,"-")</f>
        <v>C4S1-28/P4-TBSI2-M10(14)</v>
      </c>
      <c r="N53" s="30" t="str">
        <f>IF(Table2[[#This Row],[Need Mark]]="Y",F53&amp;"/"&amp;I53&amp;"-"&amp;J53,"-")</f>
        <v>P4-TBSI2-M10(14)/C4S1-28</v>
      </c>
      <c r="O53" s="30" t="str">
        <f>Table2[[#This Row],[Column3]]</f>
        <v>PNF-HiC2821</v>
      </c>
      <c r="P53" s="29" t="s">
        <v>125</v>
      </c>
      <c r="Q53" s="29" t="s">
        <v>193</v>
      </c>
      <c r="R53" s="29" t="s">
        <v>192</v>
      </c>
      <c r="S53" s="29" t="s">
        <v>32</v>
      </c>
      <c r="T53" s="29" t="s">
        <v>31</v>
      </c>
    </row>
    <row r="54" spans="1:20">
      <c r="A54" s="30" t="s">
        <v>296</v>
      </c>
      <c r="B54" s="30" t="s">
        <v>298</v>
      </c>
      <c r="C54" s="30" t="s">
        <v>285</v>
      </c>
      <c r="D54" s="30" t="str">
        <f>D53</f>
        <v>M10</v>
      </c>
      <c r="E54" s="30">
        <v>11</v>
      </c>
      <c r="F54" s="30" t="str">
        <f>A54&amp;"-"&amp;B54&amp;"-"&amp;D54&amp;"("&amp;Table2[[#This Row],[Column5]]&amp;")"</f>
        <v>P4-TBSI2-M10(11)</v>
      </c>
      <c r="G54" s="30"/>
      <c r="H54" s="30"/>
      <c r="I54" s="31" t="s">
        <v>317</v>
      </c>
      <c r="J54" s="33" t="s">
        <v>313</v>
      </c>
      <c r="K54" s="31" t="s">
        <v>297</v>
      </c>
      <c r="L54" s="30" t="s">
        <v>297</v>
      </c>
      <c r="M54" s="30" t="str">
        <f>IF(Table2[[#This Row],[Need Mark]]="Y",I54&amp;"-"&amp;J54&amp;"/"&amp;F54,"-")</f>
        <v>-</v>
      </c>
      <c r="N54" s="30" t="str">
        <f>IF(Table2[[#This Row],[Need Mark]]="Y",F54&amp;"/"&amp;I54&amp;"-"&amp;J54,"-")</f>
        <v>-</v>
      </c>
      <c r="O54" s="30" t="str">
        <f>Table2[[#This Row],[Column3]]</f>
        <v>PNF-HiC2821</v>
      </c>
      <c r="P54" s="29" t="str">
        <f>P53</f>
        <v>IS-JB-612</v>
      </c>
      <c r="Q54" s="29" t="str">
        <f t="shared" ref="Q54" si="9">Q53</f>
        <v>LSH-61305_DI_1</v>
      </c>
      <c r="R54" s="29" t="str">
        <f t="shared" ref="R54" si="10">R53</f>
        <v>LSH-61305</v>
      </c>
      <c r="S54" s="29" t="str">
        <f t="shared" ref="S54" si="11">S53</f>
        <v>Process Instrument</v>
      </c>
      <c r="T54" s="29" t="str">
        <f t="shared" ref="T54" si="12">T53</f>
        <v>ACTIVE</v>
      </c>
    </row>
    <row r="55" spans="1:20">
      <c r="A55" s="30" t="s">
        <v>296</v>
      </c>
      <c r="B55" s="30" t="s">
        <v>298</v>
      </c>
      <c r="C55" s="30" t="s">
        <v>285</v>
      </c>
      <c r="D55" s="30" t="s">
        <v>23</v>
      </c>
      <c r="E55" s="30">
        <v>14</v>
      </c>
      <c r="F55" s="30" t="str">
        <f>A55&amp;"-"&amp;B55&amp;"-"&amp;D55&amp;"("&amp;Table2[[#This Row],[Column5]]&amp;")"</f>
        <v>P4-TBSI2-M11(14)</v>
      </c>
      <c r="G55" s="30" t="s">
        <v>315</v>
      </c>
      <c r="H55" s="30"/>
      <c r="I55" s="31" t="s">
        <v>121</v>
      </c>
      <c r="J55" s="33">
        <v>29</v>
      </c>
      <c r="K55" s="31" t="s">
        <v>293</v>
      </c>
      <c r="L55" s="30" t="s">
        <v>24</v>
      </c>
      <c r="M55" s="30" t="str">
        <f>IF(Table2[[#This Row],[Need Mark]]="Y",I55&amp;"-"&amp;J55&amp;"/"&amp;F55,"-")</f>
        <v>C4S1-29/P4-TBSI2-M11(14)</v>
      </c>
      <c r="N55" s="30" t="str">
        <f>IF(Table2[[#This Row],[Need Mark]]="Y",F55&amp;"/"&amp;I55&amp;"-"&amp;J55,"-")</f>
        <v>P4-TBSI2-M11(14)/C4S1-29</v>
      </c>
      <c r="O55" s="30" t="str">
        <f>Table2[[#This Row],[Column3]]</f>
        <v>PNF-HiC2821</v>
      </c>
      <c r="P55" s="29" t="s">
        <v>125</v>
      </c>
      <c r="Q55" s="29" t="s">
        <v>191</v>
      </c>
      <c r="R55" s="29" t="s">
        <v>190</v>
      </c>
      <c r="S55" s="29" t="s">
        <v>32</v>
      </c>
      <c r="T55" s="29" t="s">
        <v>31</v>
      </c>
    </row>
    <row r="56" spans="1:20">
      <c r="A56" s="30" t="s">
        <v>296</v>
      </c>
      <c r="B56" s="30" t="s">
        <v>298</v>
      </c>
      <c r="C56" s="30" t="s">
        <v>285</v>
      </c>
      <c r="D56" s="30" t="str">
        <f>D55</f>
        <v>M11</v>
      </c>
      <c r="E56" s="30">
        <v>11</v>
      </c>
      <c r="F56" s="30" t="str">
        <f>A56&amp;"-"&amp;B56&amp;"-"&amp;D56&amp;"("&amp;Table2[[#This Row],[Column5]]&amp;")"</f>
        <v>P4-TBSI2-M11(11)</v>
      </c>
      <c r="G56" s="30"/>
      <c r="H56" s="30"/>
      <c r="I56" s="31" t="s">
        <v>317</v>
      </c>
      <c r="J56" s="33" t="s">
        <v>313</v>
      </c>
      <c r="K56" s="31" t="s">
        <v>297</v>
      </c>
      <c r="L56" s="30" t="s">
        <v>297</v>
      </c>
      <c r="M56" s="30" t="str">
        <f>IF(Table2[[#This Row],[Need Mark]]="Y",I56&amp;"-"&amp;J56&amp;"/"&amp;F56,"-")</f>
        <v>-</v>
      </c>
      <c r="N56" s="30" t="str">
        <f>IF(Table2[[#This Row],[Need Mark]]="Y",F56&amp;"/"&amp;I56&amp;"-"&amp;J56,"-")</f>
        <v>-</v>
      </c>
      <c r="O56" s="30" t="str">
        <f>Table2[[#This Row],[Column3]]</f>
        <v>PNF-HiC2821</v>
      </c>
      <c r="P56" s="29" t="str">
        <f>P55</f>
        <v>IS-JB-612</v>
      </c>
      <c r="Q56" s="29" t="str">
        <f t="shared" ref="Q56" si="13">Q55</f>
        <v>LSH-61307_DI_1</v>
      </c>
      <c r="R56" s="29" t="str">
        <f t="shared" ref="R56" si="14">R55</f>
        <v>LSH-61307</v>
      </c>
      <c r="S56" s="29" t="str">
        <f t="shared" ref="S56" si="15">S55</f>
        <v>Process Instrument</v>
      </c>
      <c r="T56" s="29" t="str">
        <f t="shared" ref="T56" si="16">T55</f>
        <v>ACTIVE</v>
      </c>
    </row>
    <row r="57" spans="1:20">
      <c r="A57" s="30" t="s">
        <v>296</v>
      </c>
      <c r="B57" s="30" t="s">
        <v>298</v>
      </c>
      <c r="C57" s="30" t="s">
        <v>285</v>
      </c>
      <c r="D57" s="30" t="s">
        <v>21</v>
      </c>
      <c r="E57" s="30">
        <v>14</v>
      </c>
      <c r="F57" s="30" t="str">
        <f>A57&amp;"-"&amp;B57&amp;"-"&amp;D57&amp;"("&amp;Table2[[#This Row],[Column5]]&amp;")"</f>
        <v>P4-TBSI2-M12(14)</v>
      </c>
      <c r="G57" s="30" t="s">
        <v>315</v>
      </c>
      <c r="H57" s="30"/>
      <c r="I57" s="31" t="s">
        <v>121</v>
      </c>
      <c r="J57" s="33">
        <v>30</v>
      </c>
      <c r="K57" s="31" t="s">
        <v>293</v>
      </c>
      <c r="L57" s="30" t="s">
        <v>22</v>
      </c>
      <c r="M57" s="30" t="str">
        <f>IF(Table2[[#This Row],[Need Mark]]="Y",I57&amp;"-"&amp;J57&amp;"/"&amp;F57,"-")</f>
        <v>C4S1-30/P4-TBSI2-M12(14)</v>
      </c>
      <c r="N57" s="30" t="str">
        <f>IF(Table2[[#This Row],[Need Mark]]="Y",F57&amp;"/"&amp;I57&amp;"-"&amp;J57,"-")</f>
        <v>P4-TBSI2-M12(14)/C4S1-30</v>
      </c>
      <c r="O57" s="30" t="str">
        <f>Table2[[#This Row],[Column3]]</f>
        <v>PNF-HiC2821</v>
      </c>
      <c r="P57" s="29" t="s">
        <v>125</v>
      </c>
      <c r="Q57" s="29" t="s">
        <v>189</v>
      </c>
      <c r="R57" s="29" t="s">
        <v>188</v>
      </c>
      <c r="S57" s="29" t="s">
        <v>32</v>
      </c>
      <c r="T57" s="29" t="s">
        <v>31</v>
      </c>
    </row>
    <row r="58" spans="1:20">
      <c r="A58" s="30" t="s">
        <v>296</v>
      </c>
      <c r="B58" s="30" t="s">
        <v>298</v>
      </c>
      <c r="C58" s="30" t="s">
        <v>285</v>
      </c>
      <c r="D58" s="30" t="str">
        <f>D57</f>
        <v>M12</v>
      </c>
      <c r="E58" s="30">
        <v>11</v>
      </c>
      <c r="F58" s="30" t="str">
        <f>A58&amp;"-"&amp;B58&amp;"-"&amp;D58&amp;"("&amp;Table2[[#This Row],[Column5]]&amp;")"</f>
        <v>P4-TBSI2-M12(11)</v>
      </c>
      <c r="G58" s="30"/>
      <c r="H58" s="30"/>
      <c r="I58" s="31" t="s">
        <v>317</v>
      </c>
      <c r="J58" s="33" t="s">
        <v>313</v>
      </c>
      <c r="K58" s="31" t="s">
        <v>297</v>
      </c>
      <c r="L58" s="30" t="s">
        <v>297</v>
      </c>
      <c r="M58" s="30" t="str">
        <f>IF(Table2[[#This Row],[Need Mark]]="Y",I58&amp;"-"&amp;J58&amp;"/"&amp;F58,"-")</f>
        <v>-</v>
      </c>
      <c r="N58" s="30" t="str">
        <f>IF(Table2[[#This Row],[Need Mark]]="Y",F58&amp;"/"&amp;I58&amp;"-"&amp;J58,"-")</f>
        <v>-</v>
      </c>
      <c r="O58" s="30" t="str">
        <f>Table2[[#This Row],[Column3]]</f>
        <v>PNF-HiC2821</v>
      </c>
      <c r="P58" s="29" t="str">
        <f>P57</f>
        <v>IS-JB-612</v>
      </c>
      <c r="Q58" s="29" t="str">
        <f t="shared" ref="Q58" si="17">Q57</f>
        <v>LSH-61312_DI_1</v>
      </c>
      <c r="R58" s="29" t="str">
        <f t="shared" ref="R58" si="18">R57</f>
        <v>LSH-61312</v>
      </c>
      <c r="S58" s="29" t="str">
        <f t="shared" ref="S58" si="19">S57</f>
        <v>Process Instrument</v>
      </c>
      <c r="T58" s="29" t="str">
        <f t="shared" ref="T58" si="20">T57</f>
        <v>ACTIVE</v>
      </c>
    </row>
    <row r="59" spans="1:20">
      <c r="A59" s="30" t="s">
        <v>296</v>
      </c>
      <c r="B59" s="30" t="s">
        <v>298</v>
      </c>
      <c r="C59" s="30" t="s">
        <v>285</v>
      </c>
      <c r="D59" s="30" t="s">
        <v>19</v>
      </c>
      <c r="E59" s="30">
        <v>14</v>
      </c>
      <c r="F59" s="30" t="str">
        <f>A59&amp;"-"&amp;B59&amp;"-"&amp;D59&amp;"("&amp;Table2[[#This Row],[Column5]]&amp;")"</f>
        <v>P4-TBSI2-M13(14)</v>
      </c>
      <c r="G59" s="30" t="s">
        <v>315</v>
      </c>
      <c r="H59" s="30"/>
      <c r="I59" s="31" t="s">
        <v>121</v>
      </c>
      <c r="J59" s="33">
        <v>31</v>
      </c>
      <c r="K59" s="31" t="s">
        <v>293</v>
      </c>
      <c r="L59" s="30" t="s">
        <v>20</v>
      </c>
      <c r="M59" s="30" t="str">
        <f>IF(Table2[[#This Row],[Need Mark]]="Y",I59&amp;"-"&amp;J59&amp;"/"&amp;F59,"-")</f>
        <v>C4S1-31/P4-TBSI2-M13(14)</v>
      </c>
      <c r="N59" s="30" t="str">
        <f>IF(Table2[[#This Row],[Need Mark]]="Y",F59&amp;"/"&amp;I59&amp;"-"&amp;J59,"-")</f>
        <v>P4-TBSI2-M13(14)/C4S1-31</v>
      </c>
      <c r="O59" s="30" t="str">
        <f>Table2[[#This Row],[Column3]]</f>
        <v>PNF-HiC2821</v>
      </c>
      <c r="P59" s="29" t="s">
        <v>125</v>
      </c>
      <c r="Q59" s="29" t="s">
        <v>187</v>
      </c>
      <c r="R59" s="29" t="s">
        <v>186</v>
      </c>
      <c r="S59" s="29" t="s">
        <v>32</v>
      </c>
      <c r="T59" s="29" t="s">
        <v>31</v>
      </c>
    </row>
    <row r="60" spans="1:20">
      <c r="A60" s="30" t="s">
        <v>296</v>
      </c>
      <c r="B60" s="30" t="s">
        <v>298</v>
      </c>
      <c r="C60" s="30" t="s">
        <v>285</v>
      </c>
      <c r="D60" s="30" t="str">
        <f>D59</f>
        <v>M13</v>
      </c>
      <c r="E60" s="30">
        <v>11</v>
      </c>
      <c r="F60" s="30" t="str">
        <f>A60&amp;"-"&amp;B60&amp;"-"&amp;D60&amp;"("&amp;Table2[[#This Row],[Column5]]&amp;")"</f>
        <v>P4-TBSI2-M13(11)</v>
      </c>
      <c r="G60" s="30"/>
      <c r="H60" s="30"/>
      <c r="I60" s="31" t="s">
        <v>317</v>
      </c>
      <c r="J60" s="33" t="s">
        <v>313</v>
      </c>
      <c r="K60" s="31" t="s">
        <v>297</v>
      </c>
      <c r="L60" s="30" t="s">
        <v>297</v>
      </c>
      <c r="M60" s="30" t="str">
        <f>IF(Table2[[#This Row],[Need Mark]]="Y",I60&amp;"-"&amp;J60&amp;"/"&amp;F60,"-")</f>
        <v>-</v>
      </c>
      <c r="N60" s="30" t="str">
        <f>IF(Table2[[#This Row],[Need Mark]]="Y",F60&amp;"/"&amp;I60&amp;"-"&amp;J60,"-")</f>
        <v>-</v>
      </c>
      <c r="O60" s="30" t="str">
        <f>Table2[[#This Row],[Column3]]</f>
        <v>PNF-HiC2821</v>
      </c>
      <c r="P60" s="29" t="str">
        <f>P59</f>
        <v>IS-JB-612</v>
      </c>
      <c r="Q60" s="29" t="str">
        <f t="shared" ref="Q60" si="21">Q59</f>
        <v>PSE-61302_DI_1</v>
      </c>
      <c r="R60" s="29" t="str">
        <f t="shared" ref="R60" si="22">R59</f>
        <v>PSE-61302</v>
      </c>
      <c r="S60" s="29" t="str">
        <f t="shared" ref="S60" si="23">S59</f>
        <v>Process Instrument</v>
      </c>
      <c r="T60" s="29" t="str">
        <f t="shared" ref="T60" si="24">T59</f>
        <v>ACTIVE</v>
      </c>
    </row>
    <row r="61" spans="1:20">
      <c r="A61" s="30" t="s">
        <v>296</v>
      </c>
      <c r="B61" s="30" t="s">
        <v>298</v>
      </c>
      <c r="C61" s="30" t="s">
        <v>285</v>
      </c>
      <c r="D61" s="30" t="s">
        <v>17</v>
      </c>
      <c r="E61" s="30">
        <v>14</v>
      </c>
      <c r="F61" s="30" t="str">
        <f>A61&amp;"-"&amp;B61&amp;"-"&amp;D61&amp;"("&amp;Table2[[#This Row],[Column5]]&amp;")"</f>
        <v>P4-TBSI2-M14(14)</v>
      </c>
      <c r="G61" s="30" t="s">
        <v>315</v>
      </c>
      <c r="H61" s="30"/>
      <c r="I61" s="31" t="s">
        <v>121</v>
      </c>
      <c r="J61" s="33">
        <v>32</v>
      </c>
      <c r="K61" s="31" t="s">
        <v>293</v>
      </c>
      <c r="L61" s="30" t="s">
        <v>18</v>
      </c>
      <c r="M61" s="30" t="str">
        <f>IF(Table2[[#This Row],[Need Mark]]="Y",I61&amp;"-"&amp;J61&amp;"/"&amp;F61,"-")</f>
        <v>C4S1-32/P4-TBSI2-M14(14)</v>
      </c>
      <c r="N61" s="30" t="str">
        <f>IF(Table2[[#This Row],[Need Mark]]="Y",F61&amp;"/"&amp;I61&amp;"-"&amp;J61,"-")</f>
        <v>P4-TBSI2-M14(14)/C4S1-32</v>
      </c>
      <c r="O61" s="30" t="str">
        <f>Table2[[#This Row],[Column3]]</f>
        <v>PNF-HiC2821</v>
      </c>
      <c r="P61" s="29" t="s">
        <v>125</v>
      </c>
      <c r="Q61" s="29" t="s">
        <v>185</v>
      </c>
      <c r="R61" s="29" t="s">
        <v>184</v>
      </c>
      <c r="S61" s="29" t="s">
        <v>32</v>
      </c>
      <c r="T61" s="29" t="s">
        <v>31</v>
      </c>
    </row>
    <row r="62" spans="1:20">
      <c r="A62" s="30" t="s">
        <v>296</v>
      </c>
      <c r="B62" s="30" t="s">
        <v>298</v>
      </c>
      <c r="C62" s="30" t="s">
        <v>285</v>
      </c>
      <c r="D62" s="30" t="str">
        <f>D61</f>
        <v>M14</v>
      </c>
      <c r="E62" s="30">
        <v>11</v>
      </c>
      <c r="F62" s="30" t="str">
        <f>A62&amp;"-"&amp;B62&amp;"-"&amp;D62&amp;"("&amp;Table2[[#This Row],[Column5]]&amp;")"</f>
        <v>P4-TBSI2-M14(11)</v>
      </c>
      <c r="G62" s="30"/>
      <c r="H62" s="30"/>
      <c r="I62" s="31" t="s">
        <v>317</v>
      </c>
      <c r="J62" s="33" t="s">
        <v>313</v>
      </c>
      <c r="K62" s="31" t="s">
        <v>297</v>
      </c>
      <c r="L62" s="30" t="s">
        <v>297</v>
      </c>
      <c r="M62" s="30" t="str">
        <f>IF(Table2[[#This Row],[Need Mark]]="Y",I62&amp;"-"&amp;J62&amp;"/"&amp;F62,"-")</f>
        <v>-</v>
      </c>
      <c r="N62" s="30" t="str">
        <f>IF(Table2[[#This Row],[Need Mark]]="Y",F62&amp;"/"&amp;I62&amp;"-"&amp;J62,"-")</f>
        <v>-</v>
      </c>
      <c r="O62" s="30" t="str">
        <f>Table2[[#This Row],[Column3]]</f>
        <v>PNF-HiC2821</v>
      </c>
      <c r="P62" s="29" t="str">
        <f>P61</f>
        <v>IS-JB-612</v>
      </c>
      <c r="Q62" s="29" t="str">
        <f t="shared" ref="Q62" si="25">Q61</f>
        <v>PSE-61303_DI_1</v>
      </c>
      <c r="R62" s="29" t="str">
        <f t="shared" ref="R62" si="26">R61</f>
        <v>PSE-61303</v>
      </c>
      <c r="S62" s="29" t="str">
        <f t="shared" ref="S62" si="27">S61</f>
        <v>Process Instrument</v>
      </c>
      <c r="T62" s="29" t="str">
        <f t="shared" ref="T62" si="28">T61</f>
        <v>ACTIVE</v>
      </c>
    </row>
    <row r="63" spans="1:20">
      <c r="A63" s="30" t="s">
        <v>296</v>
      </c>
      <c r="B63" s="30" t="s">
        <v>298</v>
      </c>
      <c r="C63" s="30" t="s">
        <v>285</v>
      </c>
      <c r="D63" s="30" t="s">
        <v>15</v>
      </c>
      <c r="E63" s="30">
        <v>14</v>
      </c>
      <c r="F63" s="30" t="str">
        <f>A63&amp;"-"&amp;B63&amp;"-"&amp;D63&amp;"("&amp;Table2[[#This Row],[Column5]]&amp;")"</f>
        <v>P4-TBSI2-M15(14)</v>
      </c>
      <c r="G63" s="30" t="s">
        <v>315</v>
      </c>
      <c r="H63" s="30"/>
      <c r="I63" s="31" t="s">
        <v>121</v>
      </c>
      <c r="J63" s="33">
        <v>33</v>
      </c>
      <c r="K63" s="31" t="s">
        <v>293</v>
      </c>
      <c r="L63" s="30" t="s">
        <v>16</v>
      </c>
      <c r="M63" s="30" t="str">
        <f>IF(Table2[[#This Row],[Need Mark]]="Y",I63&amp;"-"&amp;J63&amp;"/"&amp;F63,"-")</f>
        <v>C4S1-33/P4-TBSI2-M15(14)</v>
      </c>
      <c r="N63" s="30" t="str">
        <f>IF(Table2[[#This Row],[Need Mark]]="Y",F63&amp;"/"&amp;I63&amp;"-"&amp;J63,"-")</f>
        <v>P4-TBSI2-M15(14)/C4S1-33</v>
      </c>
      <c r="O63" s="30" t="str">
        <f>Table2[[#This Row],[Column3]]</f>
        <v>PNF-HiC2821</v>
      </c>
      <c r="P63" s="29" t="s">
        <v>125</v>
      </c>
      <c r="Q63" s="29" t="s">
        <v>183</v>
      </c>
      <c r="R63" s="29" t="s">
        <v>182</v>
      </c>
      <c r="S63" s="29" t="s">
        <v>32</v>
      </c>
      <c r="T63" s="29" t="s">
        <v>31</v>
      </c>
    </row>
    <row r="64" spans="1:20">
      <c r="A64" s="30" t="s">
        <v>296</v>
      </c>
      <c r="B64" s="30" t="s">
        <v>298</v>
      </c>
      <c r="C64" s="30" t="s">
        <v>285</v>
      </c>
      <c r="D64" s="30" t="str">
        <f>D63</f>
        <v>M15</v>
      </c>
      <c r="E64" s="30">
        <v>11</v>
      </c>
      <c r="F64" s="30" t="str">
        <f>A64&amp;"-"&amp;B64&amp;"-"&amp;D64&amp;"("&amp;Table2[[#This Row],[Column5]]&amp;")"</f>
        <v>P4-TBSI2-M15(11)</v>
      </c>
      <c r="G64" s="30"/>
      <c r="H64" s="30"/>
      <c r="I64" s="31" t="s">
        <v>317</v>
      </c>
      <c r="J64" s="33" t="s">
        <v>313</v>
      </c>
      <c r="K64" s="31" t="s">
        <v>297</v>
      </c>
      <c r="L64" s="30" t="s">
        <v>297</v>
      </c>
      <c r="M64" s="30" t="str">
        <f>IF(Table2[[#This Row],[Need Mark]]="Y",I64&amp;"-"&amp;J64&amp;"/"&amp;F64,"-")</f>
        <v>-</v>
      </c>
      <c r="N64" s="30" t="str">
        <f>IF(Table2[[#This Row],[Need Mark]]="Y",F64&amp;"/"&amp;I64&amp;"-"&amp;J64,"-")</f>
        <v>-</v>
      </c>
      <c r="O64" s="30" t="str">
        <f>Table2[[#This Row],[Column3]]</f>
        <v>PNF-HiC2821</v>
      </c>
      <c r="P64" s="29" t="str">
        <f>P63</f>
        <v>IS-JB-612</v>
      </c>
      <c r="Q64" s="29" t="str">
        <f t="shared" ref="Q64" si="29">Q63</f>
        <v>RV-61301_DI_1</v>
      </c>
      <c r="R64" s="29" t="str">
        <f t="shared" ref="R64" si="30">R63</f>
        <v>RV-61301</v>
      </c>
      <c r="S64" s="29" t="str">
        <f t="shared" ref="S64" si="31">S63</f>
        <v>Process Instrument</v>
      </c>
      <c r="T64" s="29" t="str">
        <f t="shared" ref="T64" si="32">T63</f>
        <v>ACTIVE</v>
      </c>
    </row>
    <row r="65" spans="1:20">
      <c r="A65" s="30" t="s">
        <v>296</v>
      </c>
      <c r="B65" s="30" t="s">
        <v>298</v>
      </c>
      <c r="C65" s="30" t="s">
        <v>285</v>
      </c>
      <c r="D65" s="30" t="s">
        <v>12</v>
      </c>
      <c r="E65" s="30">
        <v>14</v>
      </c>
      <c r="F65" s="30" t="str">
        <f>A65&amp;"-"&amp;B65&amp;"-"&amp;D65&amp;"("&amp;Table2[[#This Row],[Column5]]&amp;")"</f>
        <v>P4-TBSI2-M16(14)</v>
      </c>
      <c r="G65" s="30" t="s">
        <v>315</v>
      </c>
      <c r="H65" s="30"/>
      <c r="I65" s="31" t="s">
        <v>121</v>
      </c>
      <c r="J65" s="33">
        <v>34</v>
      </c>
      <c r="K65" s="31" t="s">
        <v>293</v>
      </c>
      <c r="L65" s="30" t="s">
        <v>14</v>
      </c>
      <c r="M65" s="30" t="str">
        <f>IF(Table2[[#This Row],[Need Mark]]="Y",I65&amp;"-"&amp;J65&amp;"/"&amp;F65,"-")</f>
        <v>C4S1-34/P4-TBSI2-M16(14)</v>
      </c>
      <c r="N65" s="30" t="str">
        <f>IF(Table2[[#This Row],[Need Mark]]="Y",F65&amp;"/"&amp;I65&amp;"-"&amp;J65,"-")</f>
        <v>P4-TBSI2-M16(14)/C4S1-34</v>
      </c>
      <c r="O65" s="30" t="str">
        <f>Table2[[#This Row],[Column3]]</f>
        <v>PNF-HiC2821</v>
      </c>
      <c r="P65" s="29" t="s">
        <v>125</v>
      </c>
      <c r="Q65" s="29" t="s">
        <v>181</v>
      </c>
      <c r="R65" s="29" t="s">
        <v>180</v>
      </c>
      <c r="S65" s="29" t="s">
        <v>32</v>
      </c>
      <c r="T65" s="29" t="s">
        <v>31</v>
      </c>
    </row>
    <row r="66" spans="1:20">
      <c r="A66" s="30" t="s">
        <v>296</v>
      </c>
      <c r="B66" s="30" t="s">
        <v>298</v>
      </c>
      <c r="C66" s="30" t="s">
        <v>285</v>
      </c>
      <c r="D66" s="30" t="str">
        <f>D65</f>
        <v>M16</v>
      </c>
      <c r="E66" s="30">
        <v>11</v>
      </c>
      <c r="F66" s="30" t="str">
        <f>A66&amp;"-"&amp;B66&amp;"-"&amp;D66&amp;"("&amp;Table2[[#This Row],[Column5]]&amp;")"</f>
        <v>P4-TBSI2-M16(11)</v>
      </c>
      <c r="G66" s="30"/>
      <c r="H66" s="30"/>
      <c r="I66" s="31" t="s">
        <v>317</v>
      </c>
      <c r="J66" s="33" t="s">
        <v>313</v>
      </c>
      <c r="K66" s="31" t="s">
        <v>297</v>
      </c>
      <c r="L66" s="30" t="s">
        <v>297</v>
      </c>
      <c r="M66" s="30" t="str">
        <f>IF(Table2[[#This Row],[Need Mark]]="Y",I66&amp;"-"&amp;J66&amp;"/"&amp;F66,"-")</f>
        <v>-</v>
      </c>
      <c r="N66" s="30" t="str">
        <f>IF(Table2[[#This Row],[Need Mark]]="Y",F66&amp;"/"&amp;I66&amp;"-"&amp;J66,"-")</f>
        <v>-</v>
      </c>
      <c r="O66" s="30" t="str">
        <f>Table2[[#This Row],[Column3]]</f>
        <v>PNF-HiC2821</v>
      </c>
      <c r="P66" s="29" t="str">
        <f>P65</f>
        <v>IS-JB-612</v>
      </c>
      <c r="Q66" s="29" t="str">
        <f t="shared" ref="Q66" si="33">Q65</f>
        <v>RV-61304_DI_1</v>
      </c>
      <c r="R66" s="29" t="str">
        <f t="shared" ref="R66" si="34">R65</f>
        <v>RV-61304</v>
      </c>
      <c r="S66" s="29" t="str">
        <f t="shared" ref="S66" si="35">S65</f>
        <v>Process Instrument</v>
      </c>
      <c r="T66" s="29" t="str">
        <f t="shared" ref="T66" si="36">T65</f>
        <v>ACTIVE</v>
      </c>
    </row>
    <row r="67" spans="1:20">
      <c r="A67" s="30" t="s">
        <v>296</v>
      </c>
      <c r="B67" s="30" t="s">
        <v>318</v>
      </c>
      <c r="C67" s="30" t="s">
        <v>285</v>
      </c>
      <c r="D67" s="30" t="s">
        <v>59</v>
      </c>
      <c r="E67" s="30">
        <v>14</v>
      </c>
      <c r="F67" s="30" t="str">
        <f>A67&amp;"-"&amp;B67&amp;"-"&amp;D67&amp;"("&amp;Table2[[#This Row],[Column5]]&amp;")"</f>
        <v>P4-TBSI3-M1(14)</v>
      </c>
      <c r="G67" s="30" t="s">
        <v>315</v>
      </c>
      <c r="H67" s="30"/>
      <c r="I67" s="31" t="s">
        <v>121</v>
      </c>
      <c r="J67" s="33">
        <v>1</v>
      </c>
      <c r="K67" s="31" t="s">
        <v>293</v>
      </c>
      <c r="L67" s="30" t="s">
        <v>108</v>
      </c>
      <c r="M67" s="30" t="str">
        <f>IF(Table2[[#This Row],[Need Mark]]="Y",I67&amp;"-"&amp;J67&amp;"/"&amp;F67,"-")</f>
        <v>C4S1-1/P4-TBSI3-M1(14)</v>
      </c>
      <c r="N67" s="30" t="str">
        <f>IF(Table2[[#This Row],[Need Mark]]="Y",F67&amp;"/"&amp;I67&amp;"-"&amp;J67,"-")</f>
        <v>P4-TBSI3-M1(14)/C4S1-1</v>
      </c>
      <c r="O67" s="30" t="str">
        <f>Table2[[#This Row],[Column3]]</f>
        <v>PNF-HiC2821</v>
      </c>
      <c r="P67" s="29" t="s">
        <v>125</v>
      </c>
      <c r="Q67" s="29" t="s">
        <v>179</v>
      </c>
      <c r="R67" s="29" t="s">
        <v>178</v>
      </c>
      <c r="S67" s="29" t="s">
        <v>32</v>
      </c>
      <c r="T67" s="29" t="s">
        <v>31</v>
      </c>
    </row>
    <row r="68" spans="1:20">
      <c r="A68" s="30" t="s">
        <v>296</v>
      </c>
      <c r="B68" s="30" t="s">
        <v>318</v>
      </c>
      <c r="C68" s="30" t="s">
        <v>285</v>
      </c>
      <c r="D68" s="30" t="str">
        <f>D67</f>
        <v>M1</v>
      </c>
      <c r="E68" s="30">
        <v>11</v>
      </c>
      <c r="F68" s="30" t="str">
        <f>A68&amp;"-"&amp;B68&amp;"-"&amp;D68&amp;"("&amp;Table2[[#This Row],[Column5]]&amp;")"</f>
        <v>P4-TBSI3-M1(11)</v>
      </c>
      <c r="G68" s="30" t="s">
        <v>315</v>
      </c>
      <c r="H68" s="30"/>
      <c r="I68" s="31" t="s">
        <v>317</v>
      </c>
      <c r="J68" s="33" t="s">
        <v>299</v>
      </c>
      <c r="K68" s="31" t="s">
        <v>297</v>
      </c>
      <c r="L68" s="31" t="s">
        <v>297</v>
      </c>
      <c r="M68" s="30" t="str">
        <f>IF(Table2[[#This Row],[Need Mark]]="Y",I68&amp;"-"&amp;J68&amp;"/"&amp;F68,"-")</f>
        <v>TB-24VDC-2(1)/P4-TBSI3-M1(11)</v>
      </c>
      <c r="N68" s="30" t="str">
        <f>IF(Table2[[#This Row],[Need Mark]]="Y",F68&amp;"/"&amp;I68&amp;"-"&amp;J68,"-")</f>
        <v>P4-TBSI3-M1(11)/TB-24VDC-2(1)</v>
      </c>
      <c r="O68" s="30" t="str">
        <f>Table2[[#This Row],[Column3]]</f>
        <v>PNF-HiC2821</v>
      </c>
      <c r="P68" s="29" t="str">
        <f>P67</f>
        <v>IS-JB-612</v>
      </c>
      <c r="Q68" s="29" t="str">
        <f t="shared" ref="Q68" si="37">Q67</f>
        <v>RV-61305_DI_1</v>
      </c>
      <c r="R68" s="29" t="str">
        <f t="shared" ref="R68" si="38">R67</f>
        <v>RV-61305</v>
      </c>
      <c r="S68" s="29" t="str">
        <f t="shared" ref="S68" si="39">S67</f>
        <v>Process Instrument</v>
      </c>
      <c r="T68" s="29" t="str">
        <f t="shared" ref="T68" si="40">T67</f>
        <v>ACTIVE</v>
      </c>
    </row>
    <row r="69" spans="1:20">
      <c r="A69" s="30" t="s">
        <v>296</v>
      </c>
      <c r="B69" s="30" t="s">
        <v>318</v>
      </c>
      <c r="C69" s="30" t="s">
        <v>285</v>
      </c>
      <c r="D69" s="30" t="s">
        <v>55</v>
      </c>
      <c r="E69" s="30">
        <v>14</v>
      </c>
      <c r="F69" s="30" t="str">
        <f>A69&amp;"-"&amp;B69&amp;"-"&amp;D69&amp;"("&amp;Table2[[#This Row],[Column5]]&amp;")"</f>
        <v>P4-TBSI3-M2(14)</v>
      </c>
      <c r="G69" s="30" t="s">
        <v>315</v>
      </c>
      <c r="H69" s="30"/>
      <c r="I69" s="31" t="s">
        <v>121</v>
      </c>
      <c r="J69" s="33">
        <v>2</v>
      </c>
      <c r="K69" s="31" t="s">
        <v>293</v>
      </c>
      <c r="L69" s="30" t="s">
        <v>105</v>
      </c>
      <c r="M69" s="30" t="str">
        <f>IF(Table2[[#This Row],[Need Mark]]="Y",I69&amp;"-"&amp;J69&amp;"/"&amp;F69,"-")</f>
        <v>C4S1-2/P4-TBSI3-M2(14)</v>
      </c>
      <c r="N69" s="30" t="str">
        <f>IF(Table2[[#This Row],[Need Mark]]="Y",F69&amp;"/"&amp;I69&amp;"-"&amp;J69,"-")</f>
        <v>P4-TBSI3-M2(14)/C4S1-2</v>
      </c>
      <c r="O69" s="30" t="str">
        <f>Table2[[#This Row],[Column3]]</f>
        <v>PNF-HiC2821</v>
      </c>
      <c r="P69" s="29" t="s">
        <v>125</v>
      </c>
      <c r="Q69" s="29" t="s">
        <v>177</v>
      </c>
      <c r="R69" s="29" t="s">
        <v>176</v>
      </c>
      <c r="S69" s="29" t="s">
        <v>32</v>
      </c>
      <c r="T69" s="29" t="s">
        <v>31</v>
      </c>
    </row>
    <row r="70" spans="1:20">
      <c r="A70" s="30" t="s">
        <v>296</v>
      </c>
      <c r="B70" s="30" t="s">
        <v>318</v>
      </c>
      <c r="C70" s="30" t="s">
        <v>285</v>
      </c>
      <c r="D70" s="30" t="str">
        <f>D69</f>
        <v>M2</v>
      </c>
      <c r="E70" s="30">
        <v>11</v>
      </c>
      <c r="F70" s="30" t="str">
        <f>A70&amp;"-"&amp;B70&amp;"-"&amp;D70&amp;"("&amp;Table2[[#This Row],[Column5]]&amp;")"</f>
        <v>P4-TBSI3-M2(11)</v>
      </c>
      <c r="G70" s="30"/>
      <c r="H70" s="30"/>
      <c r="I70" s="31" t="s">
        <v>317</v>
      </c>
      <c r="J70" s="33" t="s">
        <v>299</v>
      </c>
      <c r="K70" s="31" t="s">
        <v>297</v>
      </c>
      <c r="L70" s="31" t="s">
        <v>297</v>
      </c>
      <c r="M70" s="30" t="str">
        <f>IF(Table2[[#This Row],[Need Mark]]="Y",I70&amp;"-"&amp;J70&amp;"/"&amp;F70,"-")</f>
        <v>-</v>
      </c>
      <c r="N70" s="30" t="str">
        <f>IF(Table2[[#This Row],[Need Mark]]="Y",F70&amp;"/"&amp;I70&amp;"-"&amp;J70,"-")</f>
        <v>-</v>
      </c>
      <c r="O70" s="30" t="str">
        <f>Table2[[#This Row],[Column3]]</f>
        <v>PNF-HiC2821</v>
      </c>
      <c r="P70" s="29" t="str">
        <f>P69</f>
        <v>IS-JB-612</v>
      </c>
      <c r="Q70" s="29" t="str">
        <f t="shared" ref="Q70" si="41">Q69</f>
        <v>SC-61301_DI_1</v>
      </c>
      <c r="R70" s="29" t="str">
        <f t="shared" ref="R70" si="42">R69</f>
        <v>SC-61301</v>
      </c>
      <c r="S70" s="29" t="str">
        <f t="shared" ref="S70" si="43">S69</f>
        <v>Process Instrument</v>
      </c>
      <c r="T70" s="29" t="str">
        <f t="shared" ref="T70" si="44">T69</f>
        <v>ACTIVE</v>
      </c>
    </row>
    <row r="71" spans="1:20">
      <c r="A71" s="30" t="s">
        <v>296</v>
      </c>
      <c r="B71" s="30" t="s">
        <v>318</v>
      </c>
      <c r="C71" s="30" t="s">
        <v>285</v>
      </c>
      <c r="D71" s="30" t="s">
        <v>55</v>
      </c>
      <c r="E71" s="30">
        <v>14</v>
      </c>
      <c r="F71" s="30" t="str">
        <f>A71&amp;"-"&amp;B71&amp;"-"&amp;D71&amp;"("&amp;Table2[[#This Row],[Column5]]&amp;")"</f>
        <v>P4-TBSI3-M2(14)</v>
      </c>
      <c r="G71" s="30" t="s">
        <v>315</v>
      </c>
      <c r="H71" s="30"/>
      <c r="I71" s="31" t="s">
        <v>121</v>
      </c>
      <c r="J71" s="33">
        <v>3</v>
      </c>
      <c r="K71" s="31" t="s">
        <v>293</v>
      </c>
      <c r="L71" s="30" t="s">
        <v>102</v>
      </c>
      <c r="M71" s="30" t="str">
        <f>IF(Table2[[#This Row],[Need Mark]]="Y",I71&amp;"-"&amp;J71&amp;"/"&amp;F71,"-")</f>
        <v>C4S1-3/P4-TBSI3-M2(14)</v>
      </c>
      <c r="N71" s="30" t="str">
        <f>IF(Table2[[#This Row],[Need Mark]]="Y",F71&amp;"/"&amp;I71&amp;"-"&amp;J71,"-")</f>
        <v>P4-TBSI3-M2(14)/C4S1-3</v>
      </c>
      <c r="O71" s="30" t="str">
        <f>Table2[[#This Row],[Column3]]</f>
        <v>PNF-HiC2821</v>
      </c>
      <c r="P71" s="29" t="s">
        <v>125</v>
      </c>
      <c r="Q71" s="29" t="s">
        <v>175</v>
      </c>
      <c r="R71" s="29" t="s">
        <v>174</v>
      </c>
      <c r="S71" s="29" t="s">
        <v>32</v>
      </c>
      <c r="T71" s="29" t="s">
        <v>31</v>
      </c>
    </row>
    <row r="72" spans="1:20">
      <c r="A72" s="30" t="s">
        <v>296</v>
      </c>
      <c r="B72" s="30" t="s">
        <v>318</v>
      </c>
      <c r="C72" s="30" t="s">
        <v>285</v>
      </c>
      <c r="D72" s="30" t="str">
        <f>D71</f>
        <v>M2</v>
      </c>
      <c r="E72" s="30">
        <v>11</v>
      </c>
      <c r="F72" s="30" t="str">
        <f>A72&amp;"-"&amp;B72&amp;"-"&amp;D72&amp;"("&amp;Table2[[#This Row],[Column5]]&amp;")"</f>
        <v>P4-TBSI3-M2(11)</v>
      </c>
      <c r="G72" s="30"/>
      <c r="H72" s="30"/>
      <c r="I72" s="31" t="s">
        <v>317</v>
      </c>
      <c r="J72" s="33" t="s">
        <v>299</v>
      </c>
      <c r="K72" s="31" t="s">
        <v>297</v>
      </c>
      <c r="L72" s="31" t="s">
        <v>297</v>
      </c>
      <c r="M72" s="30" t="str">
        <f>IF(Table2[[#This Row],[Need Mark]]="Y",I72&amp;"-"&amp;J72&amp;"/"&amp;F72,"-")</f>
        <v>-</v>
      </c>
      <c r="N72" s="30" t="str">
        <f>IF(Table2[[#This Row],[Need Mark]]="Y",F72&amp;"/"&amp;I72&amp;"-"&amp;J72,"-")</f>
        <v>-</v>
      </c>
      <c r="O72" s="30" t="str">
        <f>Table2[[#This Row],[Column3]]</f>
        <v>PNF-HiC2821</v>
      </c>
      <c r="P72" s="29" t="str">
        <f>P71</f>
        <v>IS-JB-612</v>
      </c>
      <c r="Q72" s="29" t="str">
        <f t="shared" ref="Q72" si="45">Q71</f>
        <v>SC-61302_DI_1</v>
      </c>
      <c r="R72" s="29" t="str">
        <f t="shared" ref="R72" si="46">R71</f>
        <v>SC-61302</v>
      </c>
      <c r="S72" s="29" t="str">
        <f t="shared" ref="S72" si="47">S71</f>
        <v>Process Instrument</v>
      </c>
      <c r="T72" s="29" t="str">
        <f t="shared" ref="T72" si="48">T71</f>
        <v>ACTIVE</v>
      </c>
    </row>
    <row r="73" spans="1:20">
      <c r="A73" s="30" t="s">
        <v>296</v>
      </c>
      <c r="B73" s="30" t="s">
        <v>318</v>
      </c>
      <c r="C73" s="30" t="s">
        <v>285</v>
      </c>
      <c r="D73" s="30" t="s">
        <v>51</v>
      </c>
      <c r="E73" s="30">
        <v>14</v>
      </c>
      <c r="F73" s="30" t="str">
        <f>A73&amp;"-"&amp;B73&amp;"-"&amp;D73&amp;"("&amp;Table2[[#This Row],[Column5]]&amp;")"</f>
        <v>P4-TBSI3-M3(14)</v>
      </c>
      <c r="G73" s="30" t="s">
        <v>315</v>
      </c>
      <c r="H73" s="30"/>
      <c r="I73" s="31" t="s">
        <v>121</v>
      </c>
      <c r="J73" s="33">
        <v>4</v>
      </c>
      <c r="K73" s="31" t="s">
        <v>293</v>
      </c>
      <c r="L73" s="30" t="s">
        <v>99</v>
      </c>
      <c r="M73" s="30" t="str">
        <f>IF(Table2[[#This Row],[Need Mark]]="Y",I73&amp;"-"&amp;J73&amp;"/"&amp;F73,"-")</f>
        <v>C4S1-4/P4-TBSI3-M3(14)</v>
      </c>
      <c r="N73" s="30" t="str">
        <f>IF(Table2[[#This Row],[Need Mark]]="Y",F73&amp;"/"&amp;I73&amp;"-"&amp;J73,"-")</f>
        <v>P4-TBSI3-M3(14)/C4S1-4</v>
      </c>
      <c r="O73" s="30" t="str">
        <f>Table2[[#This Row],[Column3]]</f>
        <v>PNF-HiC2821</v>
      </c>
      <c r="P73" s="29" t="s">
        <v>125</v>
      </c>
      <c r="Q73" s="29" t="s">
        <v>173</v>
      </c>
      <c r="R73" s="29" t="s">
        <v>172</v>
      </c>
      <c r="S73" s="29" t="s">
        <v>32</v>
      </c>
      <c r="T73" s="29" t="s">
        <v>31</v>
      </c>
    </row>
    <row r="74" spans="1:20">
      <c r="A74" s="30" t="s">
        <v>296</v>
      </c>
      <c r="B74" s="30" t="s">
        <v>318</v>
      </c>
      <c r="C74" s="30" t="s">
        <v>285</v>
      </c>
      <c r="D74" s="30" t="str">
        <f>D73</f>
        <v>M3</v>
      </c>
      <c r="E74" s="30">
        <v>11</v>
      </c>
      <c r="F74" s="30" t="str">
        <f>A74&amp;"-"&amp;B74&amp;"-"&amp;D74&amp;"("&amp;Table2[[#This Row],[Column5]]&amp;")"</f>
        <v>P4-TBSI3-M3(11)</v>
      </c>
      <c r="G74" s="30"/>
      <c r="H74" s="30"/>
      <c r="I74" s="31" t="s">
        <v>317</v>
      </c>
      <c r="J74" s="33" t="s">
        <v>299</v>
      </c>
      <c r="K74" s="31" t="s">
        <v>297</v>
      </c>
      <c r="L74" s="31" t="s">
        <v>297</v>
      </c>
      <c r="M74" s="30" t="str">
        <f>IF(Table2[[#This Row],[Need Mark]]="Y",I74&amp;"-"&amp;J74&amp;"/"&amp;F74,"-")</f>
        <v>-</v>
      </c>
      <c r="N74" s="30" t="str">
        <f>IF(Table2[[#This Row],[Need Mark]]="Y",F74&amp;"/"&amp;I74&amp;"-"&amp;J74,"-")</f>
        <v>-</v>
      </c>
      <c r="O74" s="30" t="str">
        <f>Table2[[#This Row],[Column3]]</f>
        <v>PNF-HiC2821</v>
      </c>
      <c r="P74" s="29" t="str">
        <f>P73</f>
        <v>IS-JB-612</v>
      </c>
      <c r="Q74" s="29" t="str">
        <f t="shared" ref="Q74" si="49">Q73</f>
        <v>ZS-61312_DI_1</v>
      </c>
      <c r="R74" s="29" t="str">
        <f t="shared" ref="R74" si="50">R73</f>
        <v>ZS-61312</v>
      </c>
      <c r="S74" s="29" t="str">
        <f t="shared" ref="S74" si="51">S73</f>
        <v>Process Instrument</v>
      </c>
      <c r="T74" s="29" t="str">
        <f t="shared" ref="T74" si="52">T73</f>
        <v>ACTIVE</v>
      </c>
    </row>
    <row r="75" spans="1:20">
      <c r="A75" s="30" t="s">
        <v>296</v>
      </c>
      <c r="B75" s="30" t="s">
        <v>318</v>
      </c>
      <c r="C75" s="30" t="s">
        <v>285</v>
      </c>
      <c r="D75" s="30" t="s">
        <v>43</v>
      </c>
      <c r="E75" s="30">
        <v>14</v>
      </c>
      <c r="F75" s="30" t="str">
        <f>A75&amp;"-"&amp;B75&amp;"-"&amp;D75&amp;"("&amp;Table2[[#This Row],[Column5]]&amp;")"</f>
        <v>P4-TBSI3-M5(14)</v>
      </c>
      <c r="G75" s="30" t="s">
        <v>315</v>
      </c>
      <c r="H75" s="30"/>
      <c r="I75" s="31" t="s">
        <v>121</v>
      </c>
      <c r="J75" s="33">
        <v>5</v>
      </c>
      <c r="K75" s="31" t="s">
        <v>293</v>
      </c>
      <c r="L75" s="30" t="s">
        <v>96</v>
      </c>
      <c r="M75" s="30" t="str">
        <f>IF(Table2[[#This Row],[Need Mark]]="Y",I75&amp;"-"&amp;J75&amp;"/"&amp;F75,"-")</f>
        <v>C4S1-5/P4-TBSI3-M5(14)</v>
      </c>
      <c r="N75" s="30" t="str">
        <f>IF(Table2[[#This Row],[Need Mark]]="Y",F75&amp;"/"&amp;I75&amp;"-"&amp;J75,"-")</f>
        <v>P4-TBSI3-M5(14)/C4S1-5</v>
      </c>
      <c r="O75" s="30" t="str">
        <f>Table2[[#This Row],[Column3]]</f>
        <v>PNF-HiC2821</v>
      </c>
      <c r="P75" s="29" t="s">
        <v>125</v>
      </c>
      <c r="Q75" s="29" t="s">
        <v>171</v>
      </c>
      <c r="R75" s="29" t="s">
        <v>170</v>
      </c>
      <c r="S75" s="29" t="s">
        <v>32</v>
      </c>
      <c r="T75" s="29" t="s">
        <v>31</v>
      </c>
    </row>
    <row r="76" spans="1:20">
      <c r="A76" s="30" t="s">
        <v>296</v>
      </c>
      <c r="B76" s="30" t="s">
        <v>318</v>
      </c>
      <c r="C76" s="30" t="s">
        <v>285</v>
      </c>
      <c r="D76" s="30" t="str">
        <f>D75</f>
        <v>M5</v>
      </c>
      <c r="E76" s="30">
        <v>11</v>
      </c>
      <c r="F76" s="30" t="str">
        <f>A76&amp;"-"&amp;B76&amp;"-"&amp;D76&amp;"("&amp;Table2[[#This Row],[Column5]]&amp;")"</f>
        <v>P4-TBSI3-M5(11)</v>
      </c>
      <c r="G76" s="30"/>
      <c r="H76" s="30"/>
      <c r="I76" s="31" t="s">
        <v>317</v>
      </c>
      <c r="J76" s="33" t="s">
        <v>299</v>
      </c>
      <c r="K76" s="31" t="s">
        <v>297</v>
      </c>
      <c r="L76" s="31" t="s">
        <v>297</v>
      </c>
      <c r="M76" s="30" t="str">
        <f>IF(Table2[[#This Row],[Need Mark]]="Y",I76&amp;"-"&amp;J76&amp;"/"&amp;F76,"-")</f>
        <v>-</v>
      </c>
      <c r="N76" s="30" t="str">
        <f>IF(Table2[[#This Row],[Need Mark]]="Y",F76&amp;"/"&amp;I76&amp;"-"&amp;J76,"-")</f>
        <v>-</v>
      </c>
      <c r="O76" s="30" t="str">
        <f>Table2[[#This Row],[Column3]]</f>
        <v>PNF-HiC2821</v>
      </c>
      <c r="P76" s="29" t="str">
        <f>P75</f>
        <v>IS-JB-612</v>
      </c>
      <c r="Q76" s="29" t="str">
        <f t="shared" ref="Q76" si="53">Q75</f>
        <v>ZS-61313_DI_1</v>
      </c>
      <c r="R76" s="29" t="str">
        <f t="shared" ref="R76" si="54">R75</f>
        <v>ZS-61313</v>
      </c>
      <c r="S76" s="29" t="str">
        <f t="shared" ref="S76" si="55">S75</f>
        <v>Process Instrument</v>
      </c>
      <c r="T76" s="29" t="str">
        <f t="shared" ref="T76" si="56">T75</f>
        <v>ACTIVE</v>
      </c>
    </row>
    <row r="77" spans="1:20">
      <c r="A77" s="30" t="s">
        <v>296</v>
      </c>
      <c r="B77" s="30" t="s">
        <v>318</v>
      </c>
      <c r="C77" s="30" t="s">
        <v>285</v>
      </c>
      <c r="D77" s="30" t="s">
        <v>39</v>
      </c>
      <c r="E77" s="30">
        <v>14</v>
      </c>
      <c r="F77" s="30" t="str">
        <f>A77&amp;"-"&amp;B77&amp;"-"&amp;D77&amp;"("&amp;Table2[[#This Row],[Column5]]&amp;")"</f>
        <v>P4-TBSI3-M6(14)</v>
      </c>
      <c r="G77" s="30" t="s">
        <v>315</v>
      </c>
      <c r="H77" s="30"/>
      <c r="I77" s="31" t="s">
        <v>121</v>
      </c>
      <c r="J77" s="33">
        <v>6</v>
      </c>
      <c r="K77" s="31" t="s">
        <v>293</v>
      </c>
      <c r="L77" s="30" t="s">
        <v>93</v>
      </c>
      <c r="M77" s="30" t="str">
        <f>IF(Table2[[#This Row],[Need Mark]]="Y",I77&amp;"-"&amp;J77&amp;"/"&amp;F77,"-")</f>
        <v>C4S1-6/P4-TBSI3-M6(14)</v>
      </c>
      <c r="N77" s="30" t="str">
        <f>IF(Table2[[#This Row],[Need Mark]]="Y",F77&amp;"/"&amp;I77&amp;"-"&amp;J77,"-")</f>
        <v>P4-TBSI3-M6(14)/C4S1-6</v>
      </c>
      <c r="O77" s="35" t="str">
        <f>Table2[[#This Row],[Column3]]</f>
        <v>PNF-HiC2821</v>
      </c>
    </row>
    <row r="78" spans="1:20">
      <c r="A78" s="30" t="s">
        <v>296</v>
      </c>
      <c r="B78" s="30" t="s">
        <v>318</v>
      </c>
      <c r="C78" s="30" t="s">
        <v>285</v>
      </c>
      <c r="D78" s="30" t="str">
        <f>D77</f>
        <v>M6</v>
      </c>
      <c r="E78" s="30">
        <v>11</v>
      </c>
      <c r="F78" s="30" t="str">
        <f>A78&amp;"-"&amp;B78&amp;"-"&amp;D78&amp;"("&amp;Table2[[#This Row],[Column5]]&amp;")"</f>
        <v>P4-TBSI3-M6(11)</v>
      </c>
      <c r="G78" s="30"/>
      <c r="H78" s="30"/>
      <c r="I78" s="31" t="s">
        <v>317</v>
      </c>
      <c r="J78" s="33" t="s">
        <v>299</v>
      </c>
      <c r="K78" s="31" t="s">
        <v>297</v>
      </c>
      <c r="L78" s="31" t="s">
        <v>297</v>
      </c>
      <c r="M78" s="30" t="str">
        <f>IF(Table2[[#This Row],[Need Mark]]="Y",I78&amp;"-"&amp;J78&amp;"/"&amp;F78,"-")</f>
        <v>-</v>
      </c>
      <c r="N78" s="30" t="str">
        <f>IF(Table2[[#This Row],[Need Mark]]="Y",F78&amp;"/"&amp;I78&amp;"-"&amp;J78,"-")</f>
        <v>-</v>
      </c>
      <c r="O78" s="35" t="str">
        <f>Table2[[#This Row],[Column3]]</f>
        <v>PNF-HiC2821</v>
      </c>
    </row>
    <row r="79" spans="1:20">
      <c r="A79" s="30" t="s">
        <v>296</v>
      </c>
      <c r="B79" s="30" t="s">
        <v>318</v>
      </c>
      <c r="C79" s="30" t="s">
        <v>285</v>
      </c>
      <c r="D79" s="30" t="s">
        <v>35</v>
      </c>
      <c r="E79" s="30">
        <v>14</v>
      </c>
      <c r="F79" s="30" t="str">
        <f>A79&amp;"-"&amp;B79&amp;"-"&amp;D79&amp;"("&amp;Table2[[#This Row],[Column5]]&amp;")"</f>
        <v>P4-TBSI3-M7(14)</v>
      </c>
      <c r="G79" s="30" t="s">
        <v>315</v>
      </c>
      <c r="H79" s="30"/>
      <c r="I79" s="31" t="s">
        <v>121</v>
      </c>
      <c r="J79" s="33">
        <v>7</v>
      </c>
      <c r="K79" s="31" t="s">
        <v>293</v>
      </c>
      <c r="L79" s="30" t="s">
        <v>90</v>
      </c>
      <c r="M79" s="30" t="str">
        <f>IF(Table2[[#This Row],[Need Mark]]="Y",I79&amp;"-"&amp;J79&amp;"/"&amp;F79,"-")</f>
        <v>C4S1-7/P4-TBSI3-M7(14)</v>
      </c>
      <c r="N79" s="30" t="str">
        <f>IF(Table2[[#This Row],[Need Mark]]="Y",F79&amp;"/"&amp;I79&amp;"-"&amp;J79,"-")</f>
        <v>P4-TBSI3-M7(14)/C4S1-7</v>
      </c>
      <c r="O79" s="35" t="str">
        <f>Table2[[#This Row],[Column3]]</f>
        <v>PNF-HiC2821</v>
      </c>
    </row>
    <row r="80" spans="1:20">
      <c r="A80" s="30" t="s">
        <v>296</v>
      </c>
      <c r="B80" s="30" t="s">
        <v>318</v>
      </c>
      <c r="C80" s="30" t="s">
        <v>285</v>
      </c>
      <c r="D80" s="30" t="str">
        <f>D79</f>
        <v>M7</v>
      </c>
      <c r="E80" s="30">
        <v>11</v>
      </c>
      <c r="F80" s="30" t="str">
        <f>A80&amp;"-"&amp;B80&amp;"-"&amp;D80&amp;"("&amp;Table2[[#This Row],[Column5]]&amp;")"</f>
        <v>P4-TBSI3-M7(11)</v>
      </c>
      <c r="G80" s="30"/>
      <c r="H80" s="30"/>
      <c r="I80" s="31" t="s">
        <v>317</v>
      </c>
      <c r="J80" s="33" t="s">
        <v>299</v>
      </c>
      <c r="K80" s="31" t="s">
        <v>297</v>
      </c>
      <c r="L80" s="31" t="s">
        <v>297</v>
      </c>
      <c r="M80" s="30" t="str">
        <f>IF(Table2[[#This Row],[Need Mark]]="Y",I80&amp;"-"&amp;J80&amp;"/"&amp;F80,"-")</f>
        <v>-</v>
      </c>
      <c r="N80" s="30" t="str">
        <f>IF(Table2[[#This Row],[Need Mark]]="Y",F80&amp;"/"&amp;I80&amp;"-"&amp;J80,"-")</f>
        <v>-</v>
      </c>
      <c r="O80" s="35" t="str">
        <f>Table2[[#This Row],[Column3]]</f>
        <v>PNF-HiC2821</v>
      </c>
    </row>
    <row r="81" spans="1:15">
      <c r="A81" s="30" t="s">
        <v>296</v>
      </c>
      <c r="B81" s="30" t="s">
        <v>318</v>
      </c>
      <c r="C81" s="30" t="s">
        <v>285</v>
      </c>
      <c r="D81" s="30" t="s">
        <v>29</v>
      </c>
      <c r="E81" s="30">
        <v>14</v>
      </c>
      <c r="F81" s="30" t="str">
        <f>A81&amp;"-"&amp;B81&amp;"-"&amp;D81&amp;"("&amp;Table2[[#This Row],[Column5]]&amp;")"</f>
        <v>P4-TBSI3-M8(14)</v>
      </c>
      <c r="G81" s="30" t="s">
        <v>315</v>
      </c>
      <c r="H81" s="30"/>
      <c r="I81" s="31" t="s">
        <v>121</v>
      </c>
      <c r="J81" s="33">
        <v>8</v>
      </c>
      <c r="K81" s="31" t="s">
        <v>293</v>
      </c>
      <c r="L81" s="30" t="s">
        <v>87</v>
      </c>
      <c r="M81" s="30" t="str">
        <f>IF(Table2[[#This Row],[Need Mark]]="Y",I81&amp;"-"&amp;J81&amp;"/"&amp;F81,"-")</f>
        <v>C4S1-8/P4-TBSI3-M8(14)</v>
      </c>
      <c r="N81" s="30" t="str">
        <f>IF(Table2[[#This Row],[Need Mark]]="Y",F81&amp;"/"&amp;I81&amp;"-"&amp;J81,"-")</f>
        <v>P4-TBSI3-M8(14)/C4S1-8</v>
      </c>
      <c r="O81" s="35" t="str">
        <f>Table2[[#This Row],[Column3]]</f>
        <v>PNF-HiC2821</v>
      </c>
    </row>
    <row r="82" spans="1:15">
      <c r="A82" s="30" t="s">
        <v>296</v>
      </c>
      <c r="B82" s="30" t="s">
        <v>318</v>
      </c>
      <c r="C82" s="30" t="s">
        <v>285</v>
      </c>
      <c r="D82" s="30" t="str">
        <f>D81</f>
        <v>M8</v>
      </c>
      <c r="E82" s="30">
        <v>11</v>
      </c>
      <c r="F82" s="30" t="str">
        <f>A82&amp;"-"&amp;B82&amp;"-"&amp;D82&amp;"("&amp;Table2[[#This Row],[Column5]]&amp;")"</f>
        <v>P4-TBSI3-M8(11)</v>
      </c>
      <c r="G82" s="30"/>
      <c r="H82" s="30"/>
      <c r="I82" s="31" t="s">
        <v>317</v>
      </c>
      <c r="J82" s="33" t="s">
        <v>299</v>
      </c>
      <c r="K82" s="31" t="s">
        <v>297</v>
      </c>
      <c r="L82" s="31" t="s">
        <v>297</v>
      </c>
      <c r="M82" s="30" t="str">
        <f>IF(Table2[[#This Row],[Need Mark]]="Y",I82&amp;"-"&amp;J82&amp;"/"&amp;F82,"-")</f>
        <v>-</v>
      </c>
      <c r="N82" s="30" t="str">
        <f>IF(Table2[[#This Row],[Need Mark]]="Y",F82&amp;"/"&amp;I82&amp;"-"&amp;J82,"-")</f>
        <v>-</v>
      </c>
      <c r="O82" s="35" t="str">
        <f>Table2[[#This Row],[Column3]]</f>
        <v>PNF-HiC2821</v>
      </c>
    </row>
    <row r="83" spans="1:15">
      <c r="A83" s="30" t="s">
        <v>296</v>
      </c>
      <c r="B83" s="30" t="s">
        <v>318</v>
      </c>
      <c r="C83" s="30" t="s">
        <v>285</v>
      </c>
      <c r="D83" s="30" t="s">
        <v>27</v>
      </c>
      <c r="E83" s="30">
        <v>14</v>
      </c>
      <c r="F83" s="30" t="str">
        <f>A83&amp;"-"&amp;B83&amp;"-"&amp;D83&amp;"("&amp;Table2[[#This Row],[Column5]]&amp;")"</f>
        <v>P4-TBSI3-M9(14)</v>
      </c>
      <c r="G83" s="30" t="s">
        <v>315</v>
      </c>
      <c r="H83" s="30"/>
      <c r="I83" s="31" t="s">
        <v>121</v>
      </c>
      <c r="J83" s="33">
        <v>9</v>
      </c>
      <c r="K83" s="31" t="s">
        <v>293</v>
      </c>
      <c r="L83" s="30" t="s">
        <v>84</v>
      </c>
      <c r="M83" s="30" t="str">
        <f>IF(Table2[[#This Row],[Need Mark]]="Y",I83&amp;"-"&amp;J83&amp;"/"&amp;F83,"-")</f>
        <v>C4S1-9/P4-TBSI3-M9(14)</v>
      </c>
      <c r="N83" s="30" t="str">
        <f>IF(Table2[[#This Row],[Need Mark]]="Y",F83&amp;"/"&amp;I83&amp;"-"&amp;J83,"-")</f>
        <v>P4-TBSI3-M9(14)/C4S1-9</v>
      </c>
      <c r="O83" s="35" t="str">
        <f>Table2[[#This Row],[Column3]]</f>
        <v>PNF-HiC2821</v>
      </c>
    </row>
    <row r="84" spans="1:15">
      <c r="A84" s="30" t="s">
        <v>296</v>
      </c>
      <c r="B84" s="30" t="s">
        <v>318</v>
      </c>
      <c r="C84" s="30" t="s">
        <v>285</v>
      </c>
      <c r="D84" s="30" t="str">
        <f>D83</f>
        <v>M9</v>
      </c>
      <c r="E84" s="30">
        <v>11</v>
      </c>
      <c r="F84" s="30" t="str">
        <f>A84&amp;"-"&amp;B84&amp;"-"&amp;D84&amp;"("&amp;Table2[[#This Row],[Column5]]&amp;")"</f>
        <v>P4-TBSI3-M9(11)</v>
      </c>
      <c r="G84" s="30"/>
      <c r="H84" s="30"/>
      <c r="I84" s="31" t="s">
        <v>317</v>
      </c>
      <c r="J84" s="33" t="s">
        <v>299</v>
      </c>
      <c r="K84" s="31" t="s">
        <v>297</v>
      </c>
      <c r="L84" s="31" t="s">
        <v>297</v>
      </c>
      <c r="M84" s="30" t="str">
        <f>IF(Table2[[#This Row],[Need Mark]]="Y",I84&amp;"-"&amp;J84&amp;"/"&amp;F84,"-")</f>
        <v>-</v>
      </c>
      <c r="N84" s="30" t="str">
        <f>IF(Table2[[#This Row],[Need Mark]]="Y",F84&amp;"/"&amp;I84&amp;"-"&amp;J84,"-")</f>
        <v>-</v>
      </c>
      <c r="O84" s="35" t="str">
        <f>Table2[[#This Row],[Column3]]</f>
        <v>PNF-HiC2821</v>
      </c>
    </row>
    <row r="85" spans="1:15">
      <c r="A85" s="30" t="s">
        <v>296</v>
      </c>
      <c r="B85" s="30" t="s">
        <v>318</v>
      </c>
      <c r="C85" s="30" t="s">
        <v>285</v>
      </c>
      <c r="D85" s="30" t="s">
        <v>25</v>
      </c>
      <c r="E85" s="30">
        <v>14</v>
      </c>
      <c r="F85" s="30" t="str">
        <f>A85&amp;"-"&amp;B85&amp;"-"&amp;D85&amp;"("&amp;Table2[[#This Row],[Column5]]&amp;")"</f>
        <v>P4-TBSI3-M10(14)</v>
      </c>
      <c r="G85" s="30" t="s">
        <v>315</v>
      </c>
      <c r="H85" s="30"/>
      <c r="I85" s="31" t="s">
        <v>121</v>
      </c>
      <c r="J85" s="33">
        <v>10</v>
      </c>
      <c r="K85" s="31" t="s">
        <v>293</v>
      </c>
      <c r="L85" s="30" t="s">
        <v>81</v>
      </c>
      <c r="M85" s="30" t="str">
        <f>IF(Table2[[#This Row],[Need Mark]]="Y",I85&amp;"-"&amp;J85&amp;"/"&amp;F85,"-")</f>
        <v>C4S1-10/P4-TBSI3-M10(14)</v>
      </c>
      <c r="N85" s="30" t="str">
        <f>IF(Table2[[#This Row],[Need Mark]]="Y",F85&amp;"/"&amp;I85&amp;"-"&amp;J85,"-")</f>
        <v>P4-TBSI3-M10(14)/C4S1-10</v>
      </c>
      <c r="O85" s="35" t="str">
        <f>Table2[[#This Row],[Column3]]</f>
        <v>PNF-HiC2821</v>
      </c>
    </row>
    <row r="86" spans="1:15">
      <c r="A86" s="30" t="s">
        <v>296</v>
      </c>
      <c r="B86" s="30" t="s">
        <v>318</v>
      </c>
      <c r="C86" s="30" t="s">
        <v>285</v>
      </c>
      <c r="D86" s="30" t="str">
        <f>D85</f>
        <v>M10</v>
      </c>
      <c r="E86" s="30">
        <v>11</v>
      </c>
      <c r="F86" s="30" t="str">
        <f>A86&amp;"-"&amp;B86&amp;"-"&amp;D86&amp;"("&amp;Table2[[#This Row],[Column5]]&amp;")"</f>
        <v>P4-TBSI3-M10(11)</v>
      </c>
      <c r="G86" s="30"/>
      <c r="H86" s="30"/>
      <c r="I86" s="31" t="s">
        <v>317</v>
      </c>
      <c r="J86" s="33" t="s">
        <v>299</v>
      </c>
      <c r="K86" s="31" t="s">
        <v>297</v>
      </c>
      <c r="L86" s="31" t="s">
        <v>297</v>
      </c>
      <c r="M86" s="30" t="str">
        <f>IF(Table2[[#This Row],[Need Mark]]="Y",I86&amp;"-"&amp;J86&amp;"/"&amp;F86,"-")</f>
        <v>-</v>
      </c>
      <c r="N86" s="30" t="str">
        <f>IF(Table2[[#This Row],[Need Mark]]="Y",F86&amp;"/"&amp;I86&amp;"-"&amp;J86,"-")</f>
        <v>-</v>
      </c>
      <c r="O86" s="35" t="str">
        <f>Table2[[#This Row],[Column3]]</f>
        <v>PNF-HiC2821</v>
      </c>
    </row>
    <row r="87" spans="1:15">
      <c r="A87" s="30" t="s">
        <v>296</v>
      </c>
      <c r="B87" s="30" t="s">
        <v>318</v>
      </c>
      <c r="C87" s="30" t="s">
        <v>285</v>
      </c>
      <c r="D87" s="30" t="s">
        <v>23</v>
      </c>
      <c r="E87" s="30">
        <v>14</v>
      </c>
      <c r="F87" s="30" t="str">
        <f>A87&amp;"-"&amp;B87&amp;"-"&amp;D87&amp;"("&amp;Table2[[#This Row],[Column5]]&amp;")"</f>
        <v>P4-TBSI3-M11(14)</v>
      </c>
      <c r="G87" s="30" t="s">
        <v>315</v>
      </c>
      <c r="H87" s="30"/>
      <c r="I87" s="31" t="s">
        <v>121</v>
      </c>
      <c r="J87" s="33">
        <v>11</v>
      </c>
      <c r="K87" s="31" t="s">
        <v>293</v>
      </c>
      <c r="L87" s="30" t="s">
        <v>78</v>
      </c>
      <c r="M87" s="30" t="str">
        <f>IF(Table2[[#This Row],[Need Mark]]="Y",I87&amp;"-"&amp;J87&amp;"/"&amp;F87,"-")</f>
        <v>C4S1-11/P4-TBSI3-M11(14)</v>
      </c>
      <c r="N87" s="30" t="str">
        <f>IF(Table2[[#This Row],[Need Mark]]="Y",F87&amp;"/"&amp;I87&amp;"-"&amp;J87,"-")</f>
        <v>P4-TBSI3-M11(14)/C4S1-11</v>
      </c>
      <c r="O87" s="35" t="str">
        <f>Table2[[#This Row],[Column3]]</f>
        <v>PNF-HiC2821</v>
      </c>
    </row>
    <row r="88" spans="1:15">
      <c r="A88" s="30" t="s">
        <v>296</v>
      </c>
      <c r="B88" s="30" t="s">
        <v>318</v>
      </c>
      <c r="C88" s="30" t="s">
        <v>285</v>
      </c>
      <c r="D88" s="30" t="str">
        <f>D87</f>
        <v>M11</v>
      </c>
      <c r="E88" s="30">
        <v>11</v>
      </c>
      <c r="F88" s="30" t="str">
        <f>A88&amp;"-"&amp;B88&amp;"-"&amp;D88&amp;"("&amp;Table2[[#This Row],[Column5]]&amp;")"</f>
        <v>P4-TBSI3-M11(11)</v>
      </c>
      <c r="G88" s="30"/>
      <c r="H88" s="30"/>
      <c r="I88" s="31" t="s">
        <v>317</v>
      </c>
      <c r="J88" s="33" t="s">
        <v>299</v>
      </c>
      <c r="K88" s="31" t="s">
        <v>297</v>
      </c>
      <c r="L88" s="31" t="s">
        <v>297</v>
      </c>
      <c r="M88" s="30" t="str">
        <f>IF(Table2[[#This Row],[Need Mark]]="Y",I88&amp;"-"&amp;J88&amp;"/"&amp;F88,"-")</f>
        <v>-</v>
      </c>
      <c r="N88" s="30" t="str">
        <f>IF(Table2[[#This Row],[Need Mark]]="Y",F88&amp;"/"&amp;I88&amp;"-"&amp;J88,"-")</f>
        <v>-</v>
      </c>
      <c r="O88" s="35" t="str">
        <f>Table2[[#This Row],[Column3]]</f>
        <v>PNF-HiC2821</v>
      </c>
    </row>
    <row r="89" spans="1:15">
      <c r="A89" s="30" t="s">
        <v>296</v>
      </c>
      <c r="B89" s="30" t="s">
        <v>318</v>
      </c>
      <c r="C89" s="30" t="s">
        <v>285</v>
      </c>
      <c r="D89" s="30" t="s">
        <v>21</v>
      </c>
      <c r="E89" s="30">
        <v>14</v>
      </c>
      <c r="F89" s="30" t="str">
        <f>A89&amp;"-"&amp;B89&amp;"-"&amp;D89&amp;"("&amp;Table2[[#This Row],[Column5]]&amp;")"</f>
        <v>P4-TBSI3-M12(14)</v>
      </c>
      <c r="G89" s="30" t="s">
        <v>315</v>
      </c>
      <c r="H89" s="30"/>
      <c r="I89" s="31" t="s">
        <v>121</v>
      </c>
      <c r="J89" s="33">
        <v>12</v>
      </c>
      <c r="K89" s="31" t="s">
        <v>293</v>
      </c>
      <c r="L89" s="30" t="s">
        <v>75</v>
      </c>
      <c r="M89" s="30" t="str">
        <f>IF(Table2[[#This Row],[Need Mark]]="Y",I89&amp;"-"&amp;J89&amp;"/"&amp;F89,"-")</f>
        <v>C4S1-12/P4-TBSI3-M12(14)</v>
      </c>
      <c r="N89" s="30" t="str">
        <f>IF(Table2[[#This Row],[Need Mark]]="Y",F89&amp;"/"&amp;I89&amp;"-"&amp;J89,"-")</f>
        <v>P4-TBSI3-M12(14)/C4S1-12</v>
      </c>
      <c r="O89" s="35" t="str">
        <f>Table2[[#This Row],[Column3]]</f>
        <v>PNF-HiC2821</v>
      </c>
    </row>
    <row r="90" spans="1:15">
      <c r="A90" s="30" t="s">
        <v>296</v>
      </c>
      <c r="B90" s="30" t="s">
        <v>318</v>
      </c>
      <c r="C90" s="30" t="s">
        <v>285</v>
      </c>
      <c r="D90" s="30" t="str">
        <f>D89</f>
        <v>M12</v>
      </c>
      <c r="E90" s="30">
        <v>11</v>
      </c>
      <c r="F90" s="30" t="str">
        <f>A90&amp;"-"&amp;B90&amp;"-"&amp;D90&amp;"("&amp;Table2[[#This Row],[Column5]]&amp;")"</f>
        <v>P4-TBSI3-M12(11)</v>
      </c>
      <c r="G90" s="30"/>
      <c r="H90" s="30"/>
      <c r="I90" s="31" t="s">
        <v>317</v>
      </c>
      <c r="J90" s="33" t="s">
        <v>299</v>
      </c>
      <c r="K90" s="31" t="s">
        <v>297</v>
      </c>
      <c r="L90" s="31" t="s">
        <v>297</v>
      </c>
      <c r="M90" s="30" t="str">
        <f>IF(Table2[[#This Row],[Need Mark]]="Y",I90&amp;"-"&amp;J90&amp;"/"&amp;F90,"-")</f>
        <v>-</v>
      </c>
      <c r="N90" s="30" t="str">
        <f>IF(Table2[[#This Row],[Need Mark]]="Y",F90&amp;"/"&amp;I90&amp;"-"&amp;J90,"-")</f>
        <v>-</v>
      </c>
      <c r="O90" s="35" t="str">
        <f>Table2[[#This Row],[Column3]]</f>
        <v>PNF-HiC2821</v>
      </c>
    </row>
    <row r="91" spans="1:15">
      <c r="A91" s="30" t="s">
        <v>296</v>
      </c>
      <c r="B91" s="30" t="s">
        <v>318</v>
      </c>
      <c r="C91" s="30" t="s">
        <v>285</v>
      </c>
      <c r="D91" s="30" t="s">
        <v>19</v>
      </c>
      <c r="E91" s="30">
        <v>14</v>
      </c>
      <c r="F91" s="30" t="str">
        <f>A91&amp;"-"&amp;B91&amp;"-"&amp;D91&amp;"("&amp;Table2[[#This Row],[Column5]]&amp;")"</f>
        <v>P4-TBSI3-M13(14)</v>
      </c>
      <c r="G91" s="30" t="s">
        <v>315</v>
      </c>
      <c r="H91" s="30"/>
      <c r="I91" s="31" t="s">
        <v>121</v>
      </c>
      <c r="J91" s="33">
        <v>13</v>
      </c>
      <c r="K91" s="31" t="s">
        <v>293</v>
      </c>
      <c r="L91" s="30" t="s">
        <v>72</v>
      </c>
      <c r="M91" s="30" t="str">
        <f>IF(Table2[[#This Row],[Need Mark]]="Y",I91&amp;"-"&amp;J91&amp;"/"&amp;F91,"-")</f>
        <v>C4S1-13/P4-TBSI3-M13(14)</v>
      </c>
      <c r="N91" s="30" t="str">
        <f>IF(Table2[[#This Row],[Need Mark]]="Y",F91&amp;"/"&amp;I91&amp;"-"&amp;J91,"-")</f>
        <v>P4-TBSI3-M13(14)/C4S1-13</v>
      </c>
      <c r="O91" s="35" t="str">
        <f>Table2[[#This Row],[Column3]]</f>
        <v>PNF-HiC2821</v>
      </c>
    </row>
    <row r="92" spans="1:15">
      <c r="A92" s="30" t="s">
        <v>296</v>
      </c>
      <c r="B92" s="30" t="s">
        <v>318</v>
      </c>
      <c r="C92" s="30" t="s">
        <v>285</v>
      </c>
      <c r="D92" s="30" t="str">
        <f>D91</f>
        <v>M13</v>
      </c>
      <c r="E92" s="30">
        <v>11</v>
      </c>
      <c r="F92" s="30" t="str">
        <f>A92&amp;"-"&amp;B92&amp;"-"&amp;D92&amp;"("&amp;Table2[[#This Row],[Column5]]&amp;")"</f>
        <v>P4-TBSI3-M13(11)</v>
      </c>
      <c r="G92" s="30"/>
      <c r="H92" s="30"/>
      <c r="I92" s="31" t="s">
        <v>317</v>
      </c>
      <c r="J92" s="33" t="s">
        <v>299</v>
      </c>
      <c r="K92" s="31" t="s">
        <v>297</v>
      </c>
      <c r="L92" s="31" t="s">
        <v>297</v>
      </c>
      <c r="M92" s="30" t="str">
        <f>IF(Table2[[#This Row],[Need Mark]]="Y",I92&amp;"-"&amp;J92&amp;"/"&amp;F92,"-")</f>
        <v>-</v>
      </c>
      <c r="N92" s="30" t="str">
        <f>IF(Table2[[#This Row],[Need Mark]]="Y",F92&amp;"/"&amp;I92&amp;"-"&amp;J92,"-")</f>
        <v>-</v>
      </c>
      <c r="O92" s="35" t="str">
        <f>Table2[[#This Row],[Column3]]</f>
        <v>PNF-HiC2821</v>
      </c>
    </row>
    <row r="93" spans="1:15">
      <c r="A93" s="30" t="s">
        <v>296</v>
      </c>
      <c r="B93" s="30" t="s">
        <v>318</v>
      </c>
      <c r="C93" s="30" t="s">
        <v>285</v>
      </c>
      <c r="D93" s="30" t="s">
        <v>17</v>
      </c>
      <c r="E93" s="30">
        <v>14</v>
      </c>
      <c r="F93" s="30" t="str">
        <f>A93&amp;"-"&amp;B93&amp;"-"&amp;D93&amp;"("&amp;Table2[[#This Row],[Column5]]&amp;")"</f>
        <v>P4-TBSI3-M14(14)</v>
      </c>
      <c r="G93" s="30" t="s">
        <v>315</v>
      </c>
      <c r="H93" s="30"/>
      <c r="I93" s="31" t="s">
        <v>121</v>
      </c>
      <c r="J93" s="33">
        <v>14</v>
      </c>
      <c r="K93" s="31" t="s">
        <v>293</v>
      </c>
      <c r="L93" s="30" t="s">
        <v>69</v>
      </c>
      <c r="M93" s="30" t="str">
        <f>IF(Table2[[#This Row],[Need Mark]]="Y",I93&amp;"-"&amp;J93&amp;"/"&amp;F93,"-")</f>
        <v>C4S1-14/P4-TBSI3-M14(14)</v>
      </c>
      <c r="N93" s="30" t="str">
        <f>IF(Table2[[#This Row],[Need Mark]]="Y",F93&amp;"/"&amp;I93&amp;"-"&amp;J93,"-")</f>
        <v>P4-TBSI3-M14(14)/C4S1-14</v>
      </c>
      <c r="O93" s="35" t="str">
        <f>Table2[[#This Row],[Column3]]</f>
        <v>PNF-HiC2821</v>
      </c>
    </row>
    <row r="94" spans="1:15">
      <c r="A94" s="30" t="s">
        <v>296</v>
      </c>
      <c r="B94" s="30" t="s">
        <v>318</v>
      </c>
      <c r="C94" s="30" t="s">
        <v>285</v>
      </c>
      <c r="D94" s="30" t="str">
        <f>D93</f>
        <v>M14</v>
      </c>
      <c r="E94" s="30">
        <v>11</v>
      </c>
      <c r="F94" s="30" t="str">
        <f>A94&amp;"-"&amp;B94&amp;"-"&amp;D94&amp;"("&amp;Table2[[#This Row],[Column5]]&amp;")"</f>
        <v>P4-TBSI3-M14(11)</v>
      </c>
      <c r="G94" s="30"/>
      <c r="H94" s="30"/>
      <c r="I94" s="31" t="s">
        <v>317</v>
      </c>
      <c r="J94" s="33" t="s">
        <v>299</v>
      </c>
      <c r="K94" s="31" t="s">
        <v>297</v>
      </c>
      <c r="L94" s="31" t="s">
        <v>297</v>
      </c>
      <c r="M94" s="30" t="str">
        <f>IF(Table2[[#This Row],[Need Mark]]="Y",I94&amp;"-"&amp;J94&amp;"/"&amp;F94,"-")</f>
        <v>-</v>
      </c>
      <c r="N94" s="30" t="str">
        <f>IF(Table2[[#This Row],[Need Mark]]="Y",F94&amp;"/"&amp;I94&amp;"-"&amp;J94,"-")</f>
        <v>-</v>
      </c>
      <c r="O94" s="35" t="str">
        <f>Table2[[#This Row],[Column3]]</f>
        <v>PNF-HiC2821</v>
      </c>
    </row>
    <row r="95" spans="1:15">
      <c r="A95" s="30" t="s">
        <v>296</v>
      </c>
      <c r="B95" s="30" t="s">
        <v>318</v>
      </c>
      <c r="C95" s="30" t="s">
        <v>285</v>
      </c>
      <c r="D95" s="30" t="s">
        <v>15</v>
      </c>
      <c r="E95" s="30">
        <v>14</v>
      </c>
      <c r="F95" s="30" t="str">
        <f>A95&amp;"-"&amp;B95&amp;"-"&amp;D95&amp;"("&amp;Table2[[#This Row],[Column5]]&amp;")"</f>
        <v>P4-TBSI3-M15(14)</v>
      </c>
      <c r="G95" s="30" t="s">
        <v>315</v>
      </c>
      <c r="H95" s="30"/>
      <c r="I95" s="31" t="s">
        <v>121</v>
      </c>
      <c r="J95" s="33">
        <v>15</v>
      </c>
      <c r="K95" s="31" t="s">
        <v>293</v>
      </c>
      <c r="L95" s="30" t="s">
        <v>66</v>
      </c>
      <c r="M95" s="30" t="str">
        <f>IF(Table2[[#This Row],[Need Mark]]="Y",I95&amp;"-"&amp;J95&amp;"/"&amp;F95,"-")</f>
        <v>C4S1-15/P4-TBSI3-M15(14)</v>
      </c>
      <c r="N95" s="30" t="str">
        <f>IF(Table2[[#This Row],[Need Mark]]="Y",F95&amp;"/"&amp;I95&amp;"-"&amp;J95,"-")</f>
        <v>P4-TBSI3-M15(14)/C4S1-15</v>
      </c>
      <c r="O95" s="35" t="str">
        <f>Table2[[#This Row],[Column3]]</f>
        <v>PNF-HiC2821</v>
      </c>
    </row>
    <row r="96" spans="1:15">
      <c r="A96" s="30" t="s">
        <v>296</v>
      </c>
      <c r="B96" s="30" t="s">
        <v>318</v>
      </c>
      <c r="C96" s="30" t="s">
        <v>285</v>
      </c>
      <c r="D96" s="30" t="str">
        <f>D95</f>
        <v>M15</v>
      </c>
      <c r="E96" s="30">
        <v>11</v>
      </c>
      <c r="F96" s="30" t="str">
        <f>A96&amp;"-"&amp;B96&amp;"-"&amp;D96&amp;"("&amp;Table2[[#This Row],[Column5]]&amp;")"</f>
        <v>P4-TBSI3-M15(11)</v>
      </c>
      <c r="G96" s="30"/>
      <c r="H96" s="30"/>
      <c r="I96" s="31" t="s">
        <v>317</v>
      </c>
      <c r="J96" s="33" t="s">
        <v>299</v>
      </c>
      <c r="K96" s="31" t="s">
        <v>297</v>
      </c>
      <c r="L96" s="31" t="s">
        <v>297</v>
      </c>
      <c r="M96" s="30" t="str">
        <f>IF(Table2[[#This Row],[Need Mark]]="Y",I96&amp;"-"&amp;J96&amp;"/"&amp;F96,"-")</f>
        <v>-</v>
      </c>
      <c r="N96" s="30" t="str">
        <f>IF(Table2[[#This Row],[Need Mark]]="Y",F96&amp;"/"&amp;I96&amp;"-"&amp;J96,"-")</f>
        <v>-</v>
      </c>
      <c r="O96" s="35" t="str">
        <f>Table2[[#This Row],[Column3]]</f>
        <v>PNF-HiC2821</v>
      </c>
    </row>
    <row r="97" spans="1:15">
      <c r="A97" s="30" t="s">
        <v>296</v>
      </c>
      <c r="B97" s="30" t="s">
        <v>318</v>
      </c>
      <c r="C97" s="30" t="s">
        <v>285</v>
      </c>
      <c r="D97" s="30" t="s">
        <v>12</v>
      </c>
      <c r="E97" s="30">
        <v>14</v>
      </c>
      <c r="F97" s="30" t="str">
        <f>A97&amp;"-"&amp;B97&amp;"-"&amp;D97&amp;"("&amp;Table2[[#This Row],[Column5]]&amp;")"</f>
        <v>P4-TBSI3-M16(14)</v>
      </c>
      <c r="G97" s="30" t="s">
        <v>315</v>
      </c>
      <c r="H97" s="30"/>
      <c r="I97" s="31" t="s">
        <v>121</v>
      </c>
      <c r="J97" s="33">
        <v>16</v>
      </c>
      <c r="K97" s="31" t="s">
        <v>293</v>
      </c>
      <c r="L97" s="30" t="s">
        <v>63</v>
      </c>
      <c r="M97" s="30" t="str">
        <f>IF(Table2[[#This Row],[Need Mark]]="Y",I97&amp;"-"&amp;J97&amp;"/"&amp;F97,"-")</f>
        <v>C4S1-16/P4-TBSI3-M16(14)</v>
      </c>
      <c r="N97" s="30" t="str">
        <f>IF(Table2[[#This Row],[Need Mark]]="Y",F97&amp;"/"&amp;I97&amp;"-"&amp;J97,"-")</f>
        <v>P4-TBSI3-M16(14)/C4S1-16</v>
      </c>
      <c r="O97" s="35" t="str">
        <f>Table2[[#This Row],[Column3]]</f>
        <v>PNF-HiC2821</v>
      </c>
    </row>
    <row r="98" spans="1:15">
      <c r="A98" s="30" t="s">
        <v>296</v>
      </c>
      <c r="B98" s="30" t="s">
        <v>318</v>
      </c>
      <c r="C98" s="30" t="s">
        <v>285</v>
      </c>
      <c r="D98" s="30" t="str">
        <f>D97</f>
        <v>M16</v>
      </c>
      <c r="E98" s="30">
        <v>11</v>
      </c>
      <c r="F98" s="30" t="str">
        <f>A98&amp;"-"&amp;B98&amp;"-"&amp;D98&amp;"("&amp;Table2[[#This Row],[Column5]]&amp;")"</f>
        <v>P4-TBSI3-M16(11)</v>
      </c>
      <c r="G98" s="30"/>
      <c r="H98" s="30"/>
      <c r="I98" s="31" t="s">
        <v>317</v>
      </c>
      <c r="J98" s="33" t="s">
        <v>299</v>
      </c>
      <c r="K98" s="31" t="s">
        <v>297</v>
      </c>
      <c r="L98" s="31" t="s">
        <v>297</v>
      </c>
      <c r="M98" s="30" t="str">
        <f>IF(Table2[[#This Row],[Need Mark]]="Y",I98&amp;"-"&amp;J98&amp;"/"&amp;F98,"-")</f>
        <v>-</v>
      </c>
      <c r="N98" s="30" t="str">
        <f>IF(Table2[[#This Row],[Need Mark]]="Y",F98&amp;"/"&amp;I98&amp;"-"&amp;J98,"-")</f>
        <v>-</v>
      </c>
      <c r="O98" s="35" t="str">
        <f>Table2[[#This Row],[Column3]]</f>
        <v>PNF-HiC2821</v>
      </c>
    </row>
    <row r="99" spans="1:15">
      <c r="A99" s="30" t="s">
        <v>296</v>
      </c>
      <c r="B99" s="30" t="s">
        <v>319</v>
      </c>
      <c r="C99" s="30" t="s">
        <v>285</v>
      </c>
      <c r="D99" s="30" t="s">
        <v>59</v>
      </c>
      <c r="E99" s="30">
        <v>14</v>
      </c>
      <c r="F99" s="30" t="str">
        <f>A99&amp;"-"&amp;B99&amp;"-"&amp;D99&amp;"("&amp;Table2[[#This Row],[Column5]]&amp;")"</f>
        <v>P4-TBSI4-M1(14)</v>
      </c>
      <c r="G99" s="30" t="s">
        <v>315</v>
      </c>
      <c r="H99" s="30"/>
      <c r="I99" s="31" t="s">
        <v>121</v>
      </c>
      <c r="J99" s="33">
        <v>19</v>
      </c>
      <c r="K99" s="31" t="s">
        <v>293</v>
      </c>
      <c r="L99" s="30" t="s">
        <v>60</v>
      </c>
      <c r="M99" s="30" t="str">
        <f>IF(Table2[[#This Row],[Need Mark]]="Y",I99&amp;"-"&amp;J99&amp;"/"&amp;F99,"-")</f>
        <v>C4S1-19/P4-TBSI4-M1(14)</v>
      </c>
      <c r="N99" s="30" t="str">
        <f>IF(Table2[[#This Row],[Need Mark]]="Y",F99&amp;"/"&amp;I99&amp;"-"&amp;J99,"-")</f>
        <v>P4-TBSI4-M1(14)/C4S1-19</v>
      </c>
      <c r="O99" s="35" t="str">
        <f>Table2[[#This Row],[Column3]]</f>
        <v>PNF-HiC2821</v>
      </c>
    </row>
    <row r="100" spans="1:15">
      <c r="A100" s="30" t="s">
        <v>296</v>
      </c>
      <c r="B100" s="30" t="s">
        <v>319</v>
      </c>
      <c r="C100" s="30" t="s">
        <v>285</v>
      </c>
      <c r="D100" s="30" t="str">
        <f>D99</f>
        <v>M1</v>
      </c>
      <c r="E100" s="30">
        <v>11</v>
      </c>
      <c r="F100" s="30" t="str">
        <f>A100&amp;"-"&amp;B100&amp;"-"&amp;D100&amp;"("&amp;Table2[[#This Row],[Column5]]&amp;")"</f>
        <v>P4-TBSI4-M1(11)</v>
      </c>
      <c r="G100" s="30" t="s">
        <v>315</v>
      </c>
      <c r="H100" s="30"/>
      <c r="I100" s="31" t="s">
        <v>317</v>
      </c>
      <c r="J100" s="33" t="s">
        <v>313</v>
      </c>
      <c r="K100" s="31" t="s">
        <v>297</v>
      </c>
      <c r="L100" s="31" t="s">
        <v>297</v>
      </c>
      <c r="M100" s="30" t="str">
        <f>IF(Table2[[#This Row],[Need Mark]]="Y",I100&amp;"-"&amp;J100&amp;"/"&amp;F100,"-")</f>
        <v>TB-24VDC-2(2)/P4-TBSI4-M1(11)</v>
      </c>
      <c r="N100" s="30" t="str">
        <f>IF(Table2[[#This Row],[Need Mark]]="Y",F100&amp;"/"&amp;I100&amp;"-"&amp;J100,"-")</f>
        <v>P4-TBSI4-M1(11)/TB-24VDC-2(2)</v>
      </c>
      <c r="O100" s="35" t="str">
        <f>Table2[[#This Row],[Column3]]</f>
        <v>PNF-HiC2821</v>
      </c>
    </row>
    <row r="101" spans="1:15">
      <c r="A101" s="30" t="s">
        <v>296</v>
      </c>
      <c r="B101" s="30" t="s">
        <v>319</v>
      </c>
      <c r="C101" s="30" t="s">
        <v>285</v>
      </c>
      <c r="D101" s="30" t="s">
        <v>55</v>
      </c>
      <c r="E101" s="30">
        <v>14</v>
      </c>
      <c r="F101" s="30" t="str">
        <f>A101&amp;"-"&amp;B101&amp;"-"&amp;D101&amp;"("&amp;Table2[[#This Row],[Column5]]&amp;")"</f>
        <v>P4-TBSI4-M2(14)</v>
      </c>
      <c r="G101" s="30" t="s">
        <v>315</v>
      </c>
      <c r="H101" s="30"/>
      <c r="I101" s="31" t="s">
        <v>121</v>
      </c>
      <c r="J101" s="33">
        <v>20</v>
      </c>
      <c r="K101" s="31" t="s">
        <v>293</v>
      </c>
      <c r="L101" s="30" t="s">
        <v>56</v>
      </c>
      <c r="M101" s="30" t="str">
        <f>IF(Table2[[#This Row],[Need Mark]]="Y",I101&amp;"-"&amp;J101&amp;"/"&amp;F101,"-")</f>
        <v>C4S1-20/P4-TBSI4-M2(14)</v>
      </c>
      <c r="N101" s="30" t="str">
        <f>IF(Table2[[#This Row],[Need Mark]]="Y",F101&amp;"/"&amp;I101&amp;"-"&amp;J101,"-")</f>
        <v>P4-TBSI4-M2(14)/C4S1-20</v>
      </c>
      <c r="O101" s="35" t="str">
        <f>Table2[[#This Row],[Column3]]</f>
        <v>PNF-HiC2821</v>
      </c>
    </row>
    <row r="102" spans="1:15">
      <c r="A102" s="30" t="s">
        <v>296</v>
      </c>
      <c r="B102" s="30" t="s">
        <v>319</v>
      </c>
      <c r="C102" s="30" t="s">
        <v>285</v>
      </c>
      <c r="D102" s="30" t="str">
        <f>D101</f>
        <v>M2</v>
      </c>
      <c r="E102" s="30">
        <v>11</v>
      </c>
      <c r="F102" s="30" t="str">
        <f>A102&amp;"-"&amp;B102&amp;"-"&amp;D102&amp;"("&amp;Table2[[#This Row],[Column5]]&amp;")"</f>
        <v>P4-TBSI4-M2(11)</v>
      </c>
      <c r="G102" s="30"/>
      <c r="H102" s="30"/>
      <c r="I102" s="31" t="s">
        <v>317</v>
      </c>
      <c r="J102" s="33" t="s">
        <v>313</v>
      </c>
      <c r="K102" s="31" t="s">
        <v>297</v>
      </c>
      <c r="L102" s="31" t="s">
        <v>297</v>
      </c>
      <c r="M102" s="30" t="str">
        <f>IF(Table2[[#This Row],[Need Mark]]="Y",I102&amp;"-"&amp;J102&amp;"/"&amp;F102,"-")</f>
        <v>-</v>
      </c>
      <c r="N102" s="30" t="str">
        <f>IF(Table2[[#This Row],[Need Mark]]="Y",F102&amp;"/"&amp;I102&amp;"-"&amp;J102,"-")</f>
        <v>-</v>
      </c>
      <c r="O102" s="35" t="str">
        <f>Table2[[#This Row],[Column3]]</f>
        <v>PNF-HiC2821</v>
      </c>
    </row>
    <row r="103" spans="1:15">
      <c r="A103" s="30" t="s">
        <v>296</v>
      </c>
      <c r="B103" s="30" t="s">
        <v>319</v>
      </c>
      <c r="C103" s="30" t="s">
        <v>285</v>
      </c>
      <c r="D103" s="30" t="s">
        <v>55</v>
      </c>
      <c r="E103" s="30">
        <v>14</v>
      </c>
      <c r="F103" s="30" t="str">
        <f>A103&amp;"-"&amp;B103&amp;"-"&amp;D103&amp;"("&amp;Table2[[#This Row],[Column5]]&amp;")"</f>
        <v>P4-TBSI4-M2(14)</v>
      </c>
      <c r="G103" s="30" t="s">
        <v>315</v>
      </c>
      <c r="H103" s="30"/>
      <c r="I103" s="31" t="s">
        <v>121</v>
      </c>
      <c r="J103" s="33">
        <v>21</v>
      </c>
      <c r="K103" s="31" t="s">
        <v>293</v>
      </c>
      <c r="L103" s="30" t="s">
        <v>52</v>
      </c>
      <c r="M103" s="30" t="str">
        <f>IF(Table2[[#This Row],[Need Mark]]="Y",I103&amp;"-"&amp;J103&amp;"/"&amp;F103,"-")</f>
        <v>C4S1-21/P4-TBSI4-M2(14)</v>
      </c>
      <c r="N103" s="30" t="str">
        <f>IF(Table2[[#This Row],[Need Mark]]="Y",F103&amp;"/"&amp;I103&amp;"-"&amp;J103,"-")</f>
        <v>P4-TBSI4-M2(14)/C4S1-21</v>
      </c>
      <c r="O103" s="35" t="str">
        <f>Table2[[#This Row],[Column3]]</f>
        <v>PNF-HiC2821</v>
      </c>
    </row>
    <row r="104" spans="1:15">
      <c r="A104" s="30" t="s">
        <v>296</v>
      </c>
      <c r="B104" s="30" t="s">
        <v>319</v>
      </c>
      <c r="C104" s="30" t="s">
        <v>285</v>
      </c>
      <c r="D104" s="30" t="str">
        <f>D103</f>
        <v>M2</v>
      </c>
      <c r="E104" s="30">
        <v>11</v>
      </c>
      <c r="F104" s="30" t="str">
        <f>A104&amp;"-"&amp;B104&amp;"-"&amp;D104&amp;"("&amp;Table2[[#This Row],[Column5]]&amp;")"</f>
        <v>P4-TBSI4-M2(11)</v>
      </c>
      <c r="G104" s="30"/>
      <c r="H104" s="30"/>
      <c r="I104" s="31" t="s">
        <v>317</v>
      </c>
      <c r="J104" s="33" t="s">
        <v>313</v>
      </c>
      <c r="K104" s="31" t="s">
        <v>297</v>
      </c>
      <c r="L104" s="31" t="s">
        <v>297</v>
      </c>
      <c r="M104" s="30" t="str">
        <f>IF(Table2[[#This Row],[Need Mark]]="Y",I104&amp;"-"&amp;J104&amp;"/"&amp;F104,"-")</f>
        <v>-</v>
      </c>
      <c r="N104" s="30" t="str">
        <f>IF(Table2[[#This Row],[Need Mark]]="Y",F104&amp;"/"&amp;I104&amp;"-"&amp;J104,"-")</f>
        <v>-</v>
      </c>
      <c r="O104" s="35" t="str">
        <f>Table2[[#This Row],[Column3]]</f>
        <v>PNF-HiC2821</v>
      </c>
    </row>
    <row r="105" spans="1:15">
      <c r="A105" s="30" t="s">
        <v>296</v>
      </c>
      <c r="B105" s="30" t="s">
        <v>319</v>
      </c>
      <c r="C105" s="30" t="s">
        <v>285</v>
      </c>
      <c r="D105" s="30" t="s">
        <v>51</v>
      </c>
      <c r="E105" s="30">
        <v>14</v>
      </c>
      <c r="F105" s="30" t="str">
        <f>A105&amp;"-"&amp;B105&amp;"-"&amp;D105&amp;"("&amp;Table2[[#This Row],[Column5]]&amp;")"</f>
        <v>P4-TBSI4-M3(14)</v>
      </c>
      <c r="G105" s="30" t="s">
        <v>315</v>
      </c>
      <c r="H105" s="30"/>
      <c r="I105" s="31" t="s">
        <v>121</v>
      </c>
      <c r="J105" s="33">
        <v>22</v>
      </c>
      <c r="K105" s="31" t="s">
        <v>293</v>
      </c>
      <c r="L105" s="30" t="s">
        <v>48</v>
      </c>
      <c r="M105" s="30" t="str">
        <f>IF(Table2[[#This Row],[Need Mark]]="Y",I105&amp;"-"&amp;J105&amp;"/"&amp;F105,"-")</f>
        <v>C4S1-22/P4-TBSI4-M3(14)</v>
      </c>
      <c r="N105" s="30" t="str">
        <f>IF(Table2[[#This Row],[Need Mark]]="Y",F105&amp;"/"&amp;I105&amp;"-"&amp;J105,"-")</f>
        <v>P4-TBSI4-M3(14)/C4S1-22</v>
      </c>
      <c r="O105" s="35" t="str">
        <f>Table2[[#This Row],[Column3]]</f>
        <v>PNF-HiC2821</v>
      </c>
    </row>
    <row r="106" spans="1:15">
      <c r="A106" s="30" t="s">
        <v>296</v>
      </c>
      <c r="B106" s="30" t="s">
        <v>319</v>
      </c>
      <c r="C106" s="30" t="s">
        <v>285</v>
      </c>
      <c r="D106" s="30" t="str">
        <f>D105</f>
        <v>M3</v>
      </c>
      <c r="E106" s="30">
        <v>11</v>
      </c>
      <c r="F106" s="30" t="str">
        <f>A106&amp;"-"&amp;B106&amp;"-"&amp;D106&amp;"("&amp;Table2[[#This Row],[Column5]]&amp;")"</f>
        <v>P4-TBSI4-M3(11)</v>
      </c>
      <c r="G106" s="30"/>
      <c r="H106" s="30"/>
      <c r="I106" s="31" t="s">
        <v>317</v>
      </c>
      <c r="J106" s="33" t="s">
        <v>313</v>
      </c>
      <c r="K106" s="31" t="s">
        <v>297</v>
      </c>
      <c r="L106" s="31" t="s">
        <v>297</v>
      </c>
      <c r="M106" s="30" t="str">
        <f>IF(Table2[[#This Row],[Need Mark]]="Y",I106&amp;"-"&amp;J106&amp;"/"&amp;F106,"-")</f>
        <v>-</v>
      </c>
      <c r="N106" s="30" t="str">
        <f>IF(Table2[[#This Row],[Need Mark]]="Y",F106&amp;"/"&amp;I106&amp;"-"&amp;J106,"-")</f>
        <v>-</v>
      </c>
      <c r="O106" s="35" t="str">
        <f>Table2[[#This Row],[Column3]]</f>
        <v>PNF-HiC2821</v>
      </c>
    </row>
    <row r="107" spans="1:15">
      <c r="A107" s="30" t="s">
        <v>296</v>
      </c>
      <c r="B107" s="30" t="s">
        <v>319</v>
      </c>
      <c r="C107" s="30" t="s">
        <v>285</v>
      </c>
      <c r="D107" s="30" t="s">
        <v>43</v>
      </c>
      <c r="E107" s="30">
        <v>14</v>
      </c>
      <c r="F107" s="30" t="str">
        <f>A107&amp;"-"&amp;B107&amp;"-"&amp;D107&amp;"("&amp;Table2[[#This Row],[Column5]]&amp;")"</f>
        <v>P4-TBSI4-M5(14)</v>
      </c>
      <c r="G107" s="30" t="s">
        <v>315</v>
      </c>
      <c r="H107" s="30"/>
      <c r="I107" s="31" t="s">
        <v>121</v>
      </c>
      <c r="J107" s="33">
        <v>23</v>
      </c>
      <c r="K107" s="31" t="s">
        <v>293</v>
      </c>
      <c r="L107" s="30" t="s">
        <v>44</v>
      </c>
      <c r="M107" s="30" t="str">
        <f>IF(Table2[[#This Row],[Need Mark]]="Y",I107&amp;"-"&amp;J107&amp;"/"&amp;F107,"-")</f>
        <v>C4S1-23/P4-TBSI4-M5(14)</v>
      </c>
      <c r="N107" s="30" t="str">
        <f>IF(Table2[[#This Row],[Need Mark]]="Y",F107&amp;"/"&amp;I107&amp;"-"&amp;J107,"-")</f>
        <v>P4-TBSI4-M5(14)/C4S1-23</v>
      </c>
      <c r="O107" s="35" t="str">
        <f>Table2[[#This Row],[Column3]]</f>
        <v>PNF-HiC2821</v>
      </c>
    </row>
    <row r="108" spans="1:15">
      <c r="A108" s="30" t="s">
        <v>296</v>
      </c>
      <c r="B108" s="30" t="s">
        <v>319</v>
      </c>
      <c r="C108" s="30" t="s">
        <v>285</v>
      </c>
      <c r="D108" s="30" t="str">
        <f>D107</f>
        <v>M5</v>
      </c>
      <c r="E108" s="30">
        <v>11</v>
      </c>
      <c r="F108" s="30" t="str">
        <f>A108&amp;"-"&amp;B108&amp;"-"&amp;D108&amp;"("&amp;Table2[[#This Row],[Column5]]&amp;")"</f>
        <v>P4-TBSI4-M5(11)</v>
      </c>
      <c r="G108" s="30"/>
      <c r="H108" s="30"/>
      <c r="I108" s="31" t="s">
        <v>317</v>
      </c>
      <c r="J108" s="33" t="s">
        <v>313</v>
      </c>
      <c r="K108" s="31" t="s">
        <v>297</v>
      </c>
      <c r="L108" s="31" t="s">
        <v>297</v>
      </c>
      <c r="M108" s="30" t="str">
        <f>IF(Table2[[#This Row],[Need Mark]]="Y",I108&amp;"-"&amp;J108&amp;"/"&amp;F108,"-")</f>
        <v>-</v>
      </c>
      <c r="N108" s="30" t="str">
        <f>IF(Table2[[#This Row],[Need Mark]]="Y",F108&amp;"/"&amp;I108&amp;"-"&amp;J108,"-")</f>
        <v>-</v>
      </c>
      <c r="O108" s="35" t="str">
        <f>Table2[[#This Row],[Column3]]</f>
        <v>PNF-HiC2821</v>
      </c>
    </row>
    <row r="109" spans="1:15">
      <c r="A109" s="30" t="s">
        <v>296</v>
      </c>
      <c r="B109" s="30" t="s">
        <v>319</v>
      </c>
      <c r="C109" s="30" t="s">
        <v>285</v>
      </c>
      <c r="D109" s="30" t="s">
        <v>39</v>
      </c>
      <c r="E109" s="30">
        <v>14</v>
      </c>
      <c r="F109" s="30" t="str">
        <f>A109&amp;"-"&amp;B109&amp;"-"&amp;D109&amp;"("&amp;Table2[[#This Row],[Column5]]&amp;")"</f>
        <v>P4-TBSI4-M6(14)</v>
      </c>
      <c r="G109" s="30" t="s">
        <v>315</v>
      </c>
      <c r="H109" s="30"/>
      <c r="I109" s="31" t="s">
        <v>121</v>
      </c>
      <c r="J109" s="33">
        <v>24</v>
      </c>
      <c r="K109" s="31" t="s">
        <v>293</v>
      </c>
      <c r="L109" s="30" t="s">
        <v>40</v>
      </c>
      <c r="M109" s="30" t="str">
        <f>IF(Table2[[#This Row],[Need Mark]]="Y",I109&amp;"-"&amp;J109&amp;"/"&amp;F109,"-")</f>
        <v>C4S1-24/P4-TBSI4-M6(14)</v>
      </c>
      <c r="N109" s="30" t="str">
        <f>IF(Table2[[#This Row],[Need Mark]]="Y",F109&amp;"/"&amp;I109&amp;"-"&amp;J109,"-")</f>
        <v>P4-TBSI4-M6(14)/C4S1-24</v>
      </c>
      <c r="O109" s="35" t="str">
        <f>Table2[[#This Row],[Column3]]</f>
        <v>PNF-HiC2821</v>
      </c>
    </row>
    <row r="110" spans="1:15">
      <c r="A110" s="30" t="s">
        <v>296</v>
      </c>
      <c r="B110" s="30" t="s">
        <v>319</v>
      </c>
      <c r="C110" s="30" t="s">
        <v>285</v>
      </c>
      <c r="D110" s="30" t="str">
        <f>D109</f>
        <v>M6</v>
      </c>
      <c r="E110" s="30">
        <v>11</v>
      </c>
      <c r="F110" s="30" t="str">
        <f>A110&amp;"-"&amp;B110&amp;"-"&amp;D110&amp;"("&amp;Table2[[#This Row],[Column5]]&amp;")"</f>
        <v>P4-TBSI4-M6(11)</v>
      </c>
      <c r="G110" s="30"/>
      <c r="H110" s="30"/>
      <c r="I110" s="31" t="s">
        <v>317</v>
      </c>
      <c r="J110" s="33" t="s">
        <v>313</v>
      </c>
      <c r="K110" s="31" t="s">
        <v>297</v>
      </c>
      <c r="L110" s="30" t="s">
        <v>297</v>
      </c>
      <c r="M110" s="30" t="str">
        <f>IF(Table2[[#This Row],[Need Mark]]="Y",I110&amp;"-"&amp;J110&amp;"/"&amp;F110,"-")</f>
        <v>-</v>
      </c>
      <c r="N110" s="30" t="str">
        <f>IF(Table2[[#This Row],[Need Mark]]="Y",F110&amp;"/"&amp;I110&amp;"-"&amp;J110,"-")</f>
        <v>-</v>
      </c>
      <c r="O110" s="35" t="str">
        <f>Table2[[#This Row],[Column3]]</f>
        <v>PNF-HiC2821</v>
      </c>
    </row>
    <row r="111" spans="1:15">
      <c r="A111" s="30" t="s">
        <v>296</v>
      </c>
      <c r="B111" s="30" t="s">
        <v>319</v>
      </c>
      <c r="C111" s="30" t="s">
        <v>285</v>
      </c>
      <c r="D111" s="30" t="s">
        <v>35</v>
      </c>
      <c r="E111" s="30">
        <v>14</v>
      </c>
      <c r="F111" s="30" t="str">
        <f>A111&amp;"-"&amp;B111&amp;"-"&amp;D111&amp;"("&amp;Table2[[#This Row],[Column5]]&amp;")"</f>
        <v>P4-TBSI4-M7(14)</v>
      </c>
      <c r="G111" s="30" t="s">
        <v>315</v>
      </c>
      <c r="H111" s="30"/>
      <c r="I111" s="31" t="s">
        <v>121</v>
      </c>
      <c r="J111" s="33">
        <v>25</v>
      </c>
      <c r="K111" s="31" t="s">
        <v>293</v>
      </c>
      <c r="L111" s="30" t="s">
        <v>36</v>
      </c>
      <c r="M111" s="30" t="str">
        <f>IF(Table2[[#This Row],[Need Mark]]="Y",I111&amp;"-"&amp;J111&amp;"/"&amp;F111,"-")</f>
        <v>C4S1-25/P4-TBSI4-M7(14)</v>
      </c>
      <c r="N111" s="30" t="str">
        <f>IF(Table2[[#This Row],[Need Mark]]="Y",F111&amp;"/"&amp;I111&amp;"-"&amp;J111,"-")</f>
        <v>P4-TBSI4-M7(14)/C4S1-25</v>
      </c>
      <c r="O111" s="35" t="str">
        <f>Table2[[#This Row],[Column3]]</f>
        <v>PNF-HiC2821</v>
      </c>
    </row>
    <row r="112" spans="1:15">
      <c r="A112" s="30" t="s">
        <v>296</v>
      </c>
      <c r="B112" s="30" t="s">
        <v>319</v>
      </c>
      <c r="C112" s="30" t="s">
        <v>285</v>
      </c>
      <c r="D112" s="30" t="str">
        <f>D111</f>
        <v>M7</v>
      </c>
      <c r="E112" s="30">
        <v>11</v>
      </c>
      <c r="F112" s="30" t="str">
        <f>A112&amp;"-"&amp;B112&amp;"-"&amp;D112&amp;"("&amp;Table2[[#This Row],[Column5]]&amp;")"</f>
        <v>P4-TBSI4-M7(11)</v>
      </c>
      <c r="G112" s="30"/>
      <c r="H112" s="30"/>
      <c r="I112" s="31" t="s">
        <v>317</v>
      </c>
      <c r="J112" s="33" t="s">
        <v>313</v>
      </c>
      <c r="K112" s="31" t="s">
        <v>297</v>
      </c>
      <c r="L112" s="30" t="s">
        <v>297</v>
      </c>
      <c r="M112" s="30" t="str">
        <f>IF(Table2[[#This Row],[Need Mark]]="Y",I112&amp;"-"&amp;J112&amp;"/"&amp;F112,"-")</f>
        <v>-</v>
      </c>
      <c r="N112" s="30" t="str">
        <f>IF(Table2[[#This Row],[Need Mark]]="Y",F112&amp;"/"&amp;I112&amp;"-"&amp;J112,"-")</f>
        <v>-</v>
      </c>
      <c r="O112" s="35" t="str">
        <f>Table2[[#This Row],[Column3]]</f>
        <v>PNF-HiC2821</v>
      </c>
    </row>
    <row r="113" spans="1:15">
      <c r="A113" s="30" t="s">
        <v>296</v>
      </c>
      <c r="B113" s="30" t="s">
        <v>319</v>
      </c>
      <c r="C113" s="30" t="s">
        <v>285</v>
      </c>
      <c r="D113" s="30" t="s">
        <v>29</v>
      </c>
      <c r="E113" s="30">
        <v>14</v>
      </c>
      <c r="F113" s="30" t="str">
        <f>A113&amp;"-"&amp;B113&amp;"-"&amp;D113&amp;"("&amp;Table2[[#This Row],[Column5]]&amp;")"</f>
        <v>P4-TBSI4-M8(14)</v>
      </c>
      <c r="G113" s="30" t="s">
        <v>315</v>
      </c>
      <c r="H113" s="30"/>
      <c r="I113" s="31" t="s">
        <v>121</v>
      </c>
      <c r="J113" s="33">
        <v>26</v>
      </c>
      <c r="K113" s="31" t="s">
        <v>293</v>
      </c>
      <c r="L113" s="30" t="s">
        <v>30</v>
      </c>
      <c r="M113" s="30" t="str">
        <f>IF(Table2[[#This Row],[Need Mark]]="Y",I113&amp;"-"&amp;J113&amp;"/"&amp;F113,"-")</f>
        <v>C4S1-26/P4-TBSI4-M8(14)</v>
      </c>
      <c r="N113" s="30" t="str">
        <f>IF(Table2[[#This Row],[Need Mark]]="Y",F113&amp;"/"&amp;I113&amp;"-"&amp;J113,"-")</f>
        <v>P4-TBSI4-M8(14)/C4S1-26</v>
      </c>
      <c r="O113" s="35" t="str">
        <f>Table2[[#This Row],[Column3]]</f>
        <v>PNF-HiC2821</v>
      </c>
    </row>
    <row r="114" spans="1:15">
      <c r="A114" s="30" t="s">
        <v>296</v>
      </c>
      <c r="B114" s="30" t="s">
        <v>319</v>
      </c>
      <c r="C114" s="30" t="s">
        <v>285</v>
      </c>
      <c r="D114" s="30" t="str">
        <f>D113</f>
        <v>M8</v>
      </c>
      <c r="E114" s="30">
        <v>11</v>
      </c>
      <c r="F114" s="30" t="str">
        <f>A114&amp;"-"&amp;B114&amp;"-"&amp;D114&amp;"("&amp;Table2[[#This Row],[Column5]]&amp;")"</f>
        <v>P4-TBSI4-M8(11)</v>
      </c>
      <c r="G114" s="30"/>
      <c r="H114" s="30"/>
      <c r="I114" s="31" t="s">
        <v>317</v>
      </c>
      <c r="J114" s="33" t="s">
        <v>313</v>
      </c>
      <c r="K114" s="31" t="s">
        <v>297</v>
      </c>
      <c r="L114" s="30" t="s">
        <v>297</v>
      </c>
      <c r="M114" s="30" t="str">
        <f>IF(Table2[[#This Row],[Need Mark]]="Y",I114&amp;"-"&amp;J114&amp;"/"&amp;F114,"-")</f>
        <v>-</v>
      </c>
      <c r="N114" s="30" t="str">
        <f>IF(Table2[[#This Row],[Need Mark]]="Y",F114&amp;"/"&amp;I114&amp;"-"&amp;J114,"-")</f>
        <v>-</v>
      </c>
      <c r="O114" s="35" t="str">
        <f>Table2[[#This Row],[Column3]]</f>
        <v>PNF-HiC2821</v>
      </c>
    </row>
    <row r="115" spans="1:15">
      <c r="A115" s="30" t="s">
        <v>296</v>
      </c>
      <c r="B115" s="30" t="s">
        <v>319</v>
      </c>
      <c r="C115" s="30" t="s">
        <v>285</v>
      </c>
      <c r="D115" s="30" t="s">
        <v>27</v>
      </c>
      <c r="E115" s="30">
        <v>14</v>
      </c>
      <c r="F115" s="30" t="str">
        <f>A115&amp;"-"&amp;B115&amp;"-"&amp;D115&amp;"("&amp;Table2[[#This Row],[Column5]]&amp;")"</f>
        <v>P4-TBSI4-M9(14)</v>
      </c>
      <c r="G115" s="30" t="s">
        <v>315</v>
      </c>
      <c r="H115" s="30"/>
      <c r="I115" s="31" t="s">
        <v>121</v>
      </c>
      <c r="J115" s="33">
        <v>27</v>
      </c>
      <c r="K115" s="31" t="s">
        <v>293</v>
      </c>
      <c r="L115" s="30" t="s">
        <v>28</v>
      </c>
      <c r="M115" s="30" t="str">
        <f>IF(Table2[[#This Row],[Need Mark]]="Y",I115&amp;"-"&amp;J115&amp;"/"&amp;F115,"-")</f>
        <v>C4S1-27/P4-TBSI4-M9(14)</v>
      </c>
      <c r="N115" s="30" t="str">
        <f>IF(Table2[[#This Row],[Need Mark]]="Y",F115&amp;"/"&amp;I115&amp;"-"&amp;J115,"-")</f>
        <v>P4-TBSI4-M9(14)/C4S1-27</v>
      </c>
      <c r="O115" s="35" t="str">
        <f>Table2[[#This Row],[Column3]]</f>
        <v>PNF-HiC2821</v>
      </c>
    </row>
    <row r="116" spans="1:15">
      <c r="A116" s="30" t="s">
        <v>296</v>
      </c>
      <c r="B116" s="30" t="s">
        <v>319</v>
      </c>
      <c r="C116" s="30" t="s">
        <v>285</v>
      </c>
      <c r="D116" s="30" t="str">
        <f>D115</f>
        <v>M9</v>
      </c>
      <c r="E116" s="30">
        <v>11</v>
      </c>
      <c r="F116" s="30" t="str">
        <f>A116&amp;"-"&amp;B116&amp;"-"&amp;D116&amp;"("&amp;Table2[[#This Row],[Column5]]&amp;")"</f>
        <v>P4-TBSI4-M9(11)</v>
      </c>
      <c r="G116" s="30"/>
      <c r="H116" s="30"/>
      <c r="I116" s="31" t="s">
        <v>317</v>
      </c>
      <c r="J116" s="33" t="s">
        <v>313</v>
      </c>
      <c r="K116" s="31" t="s">
        <v>297</v>
      </c>
      <c r="L116" s="30" t="s">
        <v>297</v>
      </c>
      <c r="M116" s="30" t="str">
        <f>IF(Table2[[#This Row],[Need Mark]]="Y",I116&amp;"-"&amp;J116&amp;"/"&amp;F116,"-")</f>
        <v>-</v>
      </c>
      <c r="N116" s="30" t="str">
        <f>IF(Table2[[#This Row],[Need Mark]]="Y",F116&amp;"/"&amp;I116&amp;"-"&amp;J116,"-")</f>
        <v>-</v>
      </c>
      <c r="O116" s="35" t="str">
        <f>Table2[[#This Row],[Column3]]</f>
        <v>PNF-HiC2821</v>
      </c>
    </row>
    <row r="117" spans="1:15">
      <c r="A117" s="30" t="s">
        <v>296</v>
      </c>
      <c r="B117" s="30" t="s">
        <v>319</v>
      </c>
      <c r="C117" s="30" t="s">
        <v>285</v>
      </c>
      <c r="D117" s="30" t="s">
        <v>25</v>
      </c>
      <c r="E117" s="30">
        <v>14</v>
      </c>
      <c r="F117" s="30" t="str">
        <f>A117&amp;"-"&amp;B117&amp;"-"&amp;D117&amp;"("&amp;Table2[[#This Row],[Column5]]&amp;")"</f>
        <v>P4-TBSI4-M10(14)</v>
      </c>
      <c r="G117" s="30" t="s">
        <v>315</v>
      </c>
      <c r="H117" s="30"/>
      <c r="I117" s="31" t="s">
        <v>121</v>
      </c>
      <c r="J117" s="33">
        <v>28</v>
      </c>
      <c r="K117" s="31" t="s">
        <v>293</v>
      </c>
      <c r="L117" s="30" t="s">
        <v>26</v>
      </c>
      <c r="M117" s="30" t="str">
        <f>IF(Table2[[#This Row],[Need Mark]]="Y",I117&amp;"-"&amp;J117&amp;"/"&amp;F117,"-")</f>
        <v>C4S1-28/P4-TBSI4-M10(14)</v>
      </c>
      <c r="N117" s="30" t="str">
        <f>IF(Table2[[#This Row],[Need Mark]]="Y",F117&amp;"/"&amp;I117&amp;"-"&amp;J117,"-")</f>
        <v>P4-TBSI4-M10(14)/C4S1-28</v>
      </c>
      <c r="O117" s="35" t="str">
        <f>Table2[[#This Row],[Column3]]</f>
        <v>PNF-HiC2821</v>
      </c>
    </row>
    <row r="118" spans="1:15">
      <c r="A118" s="30" t="s">
        <v>296</v>
      </c>
      <c r="B118" s="30" t="s">
        <v>319</v>
      </c>
      <c r="C118" s="30" t="s">
        <v>285</v>
      </c>
      <c r="D118" s="30" t="str">
        <f>D117</f>
        <v>M10</v>
      </c>
      <c r="E118" s="30">
        <v>11</v>
      </c>
      <c r="F118" s="30" t="str">
        <f>A118&amp;"-"&amp;B118&amp;"-"&amp;D118&amp;"("&amp;Table2[[#This Row],[Column5]]&amp;")"</f>
        <v>P4-TBSI4-M10(11)</v>
      </c>
      <c r="G118" s="30"/>
      <c r="H118" s="30"/>
      <c r="I118" s="31" t="s">
        <v>317</v>
      </c>
      <c r="J118" s="33" t="s">
        <v>313</v>
      </c>
      <c r="K118" s="31" t="s">
        <v>297</v>
      </c>
      <c r="L118" s="30" t="s">
        <v>297</v>
      </c>
      <c r="M118" s="30" t="str">
        <f>IF(Table2[[#This Row],[Need Mark]]="Y",I118&amp;"-"&amp;J118&amp;"/"&amp;F118,"-")</f>
        <v>-</v>
      </c>
      <c r="N118" s="30" t="str">
        <f>IF(Table2[[#This Row],[Need Mark]]="Y",F118&amp;"/"&amp;I118&amp;"-"&amp;J118,"-")</f>
        <v>-</v>
      </c>
      <c r="O118" s="35" t="str">
        <f>Table2[[#This Row],[Column3]]</f>
        <v>PNF-HiC2821</v>
      </c>
    </row>
    <row r="119" spans="1:15">
      <c r="A119" s="30" t="s">
        <v>296</v>
      </c>
      <c r="B119" s="30" t="s">
        <v>319</v>
      </c>
      <c r="C119" s="30" t="s">
        <v>285</v>
      </c>
      <c r="D119" s="30" t="s">
        <v>23</v>
      </c>
      <c r="E119" s="30">
        <v>14</v>
      </c>
      <c r="F119" s="30" t="str">
        <f>A119&amp;"-"&amp;B119&amp;"-"&amp;D119&amp;"("&amp;Table2[[#This Row],[Column5]]&amp;")"</f>
        <v>P4-TBSI4-M11(14)</v>
      </c>
      <c r="G119" s="30" t="s">
        <v>315</v>
      </c>
      <c r="H119" s="30"/>
      <c r="I119" s="31" t="s">
        <v>121</v>
      </c>
      <c r="J119" s="33">
        <v>29</v>
      </c>
      <c r="K119" s="31" t="s">
        <v>293</v>
      </c>
      <c r="L119" s="30" t="s">
        <v>24</v>
      </c>
      <c r="M119" s="30" t="str">
        <f>IF(Table2[[#This Row],[Need Mark]]="Y",I119&amp;"-"&amp;J119&amp;"/"&amp;F119,"-")</f>
        <v>C4S1-29/P4-TBSI4-M11(14)</v>
      </c>
      <c r="N119" s="30" t="str">
        <f>IF(Table2[[#This Row],[Need Mark]]="Y",F119&amp;"/"&amp;I119&amp;"-"&amp;J119,"-")</f>
        <v>P4-TBSI4-M11(14)/C4S1-29</v>
      </c>
      <c r="O119" s="35" t="str">
        <f>Table2[[#This Row],[Column3]]</f>
        <v>PNF-HiC2821</v>
      </c>
    </row>
    <row r="120" spans="1:15">
      <c r="A120" s="30" t="s">
        <v>296</v>
      </c>
      <c r="B120" s="30" t="s">
        <v>319</v>
      </c>
      <c r="C120" s="30" t="s">
        <v>285</v>
      </c>
      <c r="D120" s="30" t="str">
        <f>D119</f>
        <v>M11</v>
      </c>
      <c r="E120" s="30">
        <v>11</v>
      </c>
      <c r="F120" s="30" t="str">
        <f>A120&amp;"-"&amp;B120&amp;"-"&amp;D120&amp;"("&amp;Table2[[#This Row],[Column5]]&amp;")"</f>
        <v>P4-TBSI4-M11(11)</v>
      </c>
      <c r="G120" s="30"/>
      <c r="H120" s="30"/>
      <c r="I120" s="31" t="s">
        <v>317</v>
      </c>
      <c r="J120" s="33" t="s">
        <v>313</v>
      </c>
      <c r="K120" s="31" t="s">
        <v>297</v>
      </c>
      <c r="L120" s="30" t="s">
        <v>297</v>
      </c>
      <c r="M120" s="30" t="str">
        <f>IF(Table2[[#This Row],[Need Mark]]="Y",I120&amp;"-"&amp;J120&amp;"/"&amp;F120,"-")</f>
        <v>-</v>
      </c>
      <c r="N120" s="30" t="str">
        <f>IF(Table2[[#This Row],[Need Mark]]="Y",F120&amp;"/"&amp;I120&amp;"-"&amp;J120,"-")</f>
        <v>-</v>
      </c>
      <c r="O120" s="35" t="str">
        <f>Table2[[#This Row],[Column3]]</f>
        <v>PNF-HiC2821</v>
      </c>
    </row>
    <row r="121" spans="1:15">
      <c r="A121" s="30" t="s">
        <v>296</v>
      </c>
      <c r="B121" s="30" t="s">
        <v>319</v>
      </c>
      <c r="C121" s="30" t="s">
        <v>285</v>
      </c>
      <c r="D121" s="30" t="s">
        <v>21</v>
      </c>
      <c r="E121" s="30">
        <v>14</v>
      </c>
      <c r="F121" s="30" t="str">
        <f>A121&amp;"-"&amp;B121&amp;"-"&amp;D121&amp;"("&amp;Table2[[#This Row],[Column5]]&amp;")"</f>
        <v>P4-TBSI4-M12(14)</v>
      </c>
      <c r="G121" s="30" t="s">
        <v>315</v>
      </c>
      <c r="H121" s="30"/>
      <c r="I121" s="31" t="s">
        <v>121</v>
      </c>
      <c r="J121" s="33">
        <v>30</v>
      </c>
      <c r="K121" s="31" t="s">
        <v>293</v>
      </c>
      <c r="L121" s="30" t="s">
        <v>22</v>
      </c>
      <c r="M121" s="30" t="str">
        <f>IF(Table2[[#This Row],[Need Mark]]="Y",I121&amp;"-"&amp;J121&amp;"/"&amp;F121,"-")</f>
        <v>C4S1-30/P4-TBSI4-M12(14)</v>
      </c>
      <c r="N121" s="30" t="str">
        <f>IF(Table2[[#This Row],[Need Mark]]="Y",F121&amp;"/"&amp;I121&amp;"-"&amp;J121,"-")</f>
        <v>P4-TBSI4-M12(14)/C4S1-30</v>
      </c>
      <c r="O121" s="35" t="str">
        <f>Table2[[#This Row],[Column3]]</f>
        <v>PNF-HiC2821</v>
      </c>
    </row>
    <row r="122" spans="1:15">
      <c r="A122" s="30" t="s">
        <v>296</v>
      </c>
      <c r="B122" s="30" t="s">
        <v>319</v>
      </c>
      <c r="C122" s="30" t="s">
        <v>285</v>
      </c>
      <c r="D122" s="30" t="str">
        <f>D121</f>
        <v>M12</v>
      </c>
      <c r="E122" s="30">
        <v>11</v>
      </c>
      <c r="F122" s="30" t="str">
        <f>A122&amp;"-"&amp;B122&amp;"-"&amp;D122&amp;"("&amp;Table2[[#This Row],[Column5]]&amp;")"</f>
        <v>P4-TBSI4-M12(11)</v>
      </c>
      <c r="G122" s="30"/>
      <c r="H122" s="30"/>
      <c r="I122" s="31" t="s">
        <v>317</v>
      </c>
      <c r="J122" s="33" t="s">
        <v>313</v>
      </c>
      <c r="K122" s="31" t="s">
        <v>297</v>
      </c>
      <c r="L122" s="30" t="s">
        <v>297</v>
      </c>
      <c r="M122" s="30" t="str">
        <f>IF(Table2[[#This Row],[Need Mark]]="Y",I122&amp;"-"&amp;J122&amp;"/"&amp;F122,"-")</f>
        <v>-</v>
      </c>
      <c r="N122" s="30" t="str">
        <f>IF(Table2[[#This Row],[Need Mark]]="Y",F122&amp;"/"&amp;I122&amp;"-"&amp;J122,"-")</f>
        <v>-</v>
      </c>
      <c r="O122" s="35" t="str">
        <f>Table2[[#This Row],[Column3]]</f>
        <v>PNF-HiC2821</v>
      </c>
    </row>
    <row r="123" spans="1:15">
      <c r="A123" s="30" t="s">
        <v>296</v>
      </c>
      <c r="B123" s="30" t="s">
        <v>319</v>
      </c>
      <c r="C123" s="30" t="s">
        <v>285</v>
      </c>
      <c r="D123" s="30" t="s">
        <v>19</v>
      </c>
      <c r="E123" s="30">
        <v>14</v>
      </c>
      <c r="F123" s="30" t="str">
        <f>A123&amp;"-"&amp;B123&amp;"-"&amp;D123&amp;"("&amp;Table2[[#This Row],[Column5]]&amp;")"</f>
        <v>P4-TBSI4-M13(14)</v>
      </c>
      <c r="G123" s="30" t="s">
        <v>315</v>
      </c>
      <c r="H123" s="30"/>
      <c r="I123" s="31" t="s">
        <v>121</v>
      </c>
      <c r="J123" s="33">
        <v>31</v>
      </c>
      <c r="K123" s="31" t="s">
        <v>293</v>
      </c>
      <c r="L123" s="30" t="s">
        <v>20</v>
      </c>
      <c r="M123" s="30" t="str">
        <f>IF(Table2[[#This Row],[Need Mark]]="Y",I123&amp;"-"&amp;J123&amp;"/"&amp;F123,"-")</f>
        <v>C4S1-31/P4-TBSI4-M13(14)</v>
      </c>
      <c r="N123" s="30" t="str">
        <f>IF(Table2[[#This Row],[Need Mark]]="Y",F123&amp;"/"&amp;I123&amp;"-"&amp;J123,"-")</f>
        <v>P4-TBSI4-M13(14)/C4S1-31</v>
      </c>
      <c r="O123" s="35" t="str">
        <f>Table2[[#This Row],[Column3]]</f>
        <v>PNF-HiC2821</v>
      </c>
    </row>
    <row r="124" spans="1:15">
      <c r="A124" s="30" t="s">
        <v>296</v>
      </c>
      <c r="B124" s="30" t="s">
        <v>319</v>
      </c>
      <c r="C124" s="30" t="s">
        <v>285</v>
      </c>
      <c r="D124" s="30" t="str">
        <f>D123</f>
        <v>M13</v>
      </c>
      <c r="E124" s="30">
        <v>11</v>
      </c>
      <c r="F124" s="30" t="str">
        <f>A124&amp;"-"&amp;B124&amp;"-"&amp;D124&amp;"("&amp;Table2[[#This Row],[Column5]]&amp;")"</f>
        <v>P4-TBSI4-M13(11)</v>
      </c>
      <c r="G124" s="30"/>
      <c r="H124" s="30"/>
      <c r="I124" s="31" t="s">
        <v>317</v>
      </c>
      <c r="J124" s="33" t="s">
        <v>313</v>
      </c>
      <c r="K124" s="31" t="s">
        <v>297</v>
      </c>
      <c r="L124" s="30" t="s">
        <v>297</v>
      </c>
      <c r="M124" s="30" t="str">
        <f>IF(Table2[[#This Row],[Need Mark]]="Y",I124&amp;"-"&amp;J124&amp;"/"&amp;F124,"-")</f>
        <v>-</v>
      </c>
      <c r="N124" s="30" t="str">
        <f>IF(Table2[[#This Row],[Need Mark]]="Y",F124&amp;"/"&amp;I124&amp;"-"&amp;J124,"-")</f>
        <v>-</v>
      </c>
      <c r="O124" s="35" t="str">
        <f>Table2[[#This Row],[Column3]]</f>
        <v>PNF-HiC2821</v>
      </c>
    </row>
    <row r="125" spans="1:15">
      <c r="A125" s="30" t="s">
        <v>296</v>
      </c>
      <c r="B125" s="30" t="s">
        <v>319</v>
      </c>
      <c r="C125" s="30" t="s">
        <v>285</v>
      </c>
      <c r="D125" s="30" t="s">
        <v>17</v>
      </c>
      <c r="E125" s="30">
        <v>14</v>
      </c>
      <c r="F125" s="30" t="str">
        <f>A125&amp;"-"&amp;B125&amp;"-"&amp;D125&amp;"("&amp;Table2[[#This Row],[Column5]]&amp;")"</f>
        <v>P4-TBSI4-M14(14)</v>
      </c>
      <c r="G125" s="30" t="s">
        <v>315</v>
      </c>
      <c r="H125" s="30"/>
      <c r="I125" s="31" t="s">
        <v>121</v>
      </c>
      <c r="J125" s="33">
        <v>32</v>
      </c>
      <c r="K125" s="31" t="s">
        <v>293</v>
      </c>
      <c r="L125" s="30" t="s">
        <v>18</v>
      </c>
      <c r="M125" s="30" t="str">
        <f>IF(Table2[[#This Row],[Need Mark]]="Y",I125&amp;"-"&amp;J125&amp;"/"&amp;F125,"-")</f>
        <v>C4S1-32/P4-TBSI4-M14(14)</v>
      </c>
      <c r="N125" s="30" t="str">
        <f>IF(Table2[[#This Row],[Need Mark]]="Y",F125&amp;"/"&amp;I125&amp;"-"&amp;J125,"-")</f>
        <v>P4-TBSI4-M14(14)/C4S1-32</v>
      </c>
      <c r="O125" s="35" t="str">
        <f>Table2[[#This Row],[Column3]]</f>
        <v>PNF-HiC2821</v>
      </c>
    </row>
    <row r="126" spans="1:15">
      <c r="A126" s="30" t="s">
        <v>296</v>
      </c>
      <c r="B126" s="30" t="s">
        <v>319</v>
      </c>
      <c r="C126" s="30" t="s">
        <v>285</v>
      </c>
      <c r="D126" s="30" t="str">
        <f>D125</f>
        <v>M14</v>
      </c>
      <c r="E126" s="30">
        <v>11</v>
      </c>
      <c r="F126" s="30" t="str">
        <f>A126&amp;"-"&amp;B126&amp;"-"&amp;D126&amp;"("&amp;Table2[[#This Row],[Column5]]&amp;")"</f>
        <v>P4-TBSI4-M14(11)</v>
      </c>
      <c r="G126" s="30"/>
      <c r="H126" s="30"/>
      <c r="I126" s="31" t="s">
        <v>317</v>
      </c>
      <c r="J126" s="33" t="s">
        <v>313</v>
      </c>
      <c r="K126" s="31" t="s">
        <v>297</v>
      </c>
      <c r="L126" s="30" t="s">
        <v>297</v>
      </c>
      <c r="M126" s="30" t="str">
        <f>IF(Table2[[#This Row],[Need Mark]]="Y",I126&amp;"-"&amp;J126&amp;"/"&amp;F126,"-")</f>
        <v>-</v>
      </c>
      <c r="N126" s="30" t="str">
        <f>IF(Table2[[#This Row],[Need Mark]]="Y",F126&amp;"/"&amp;I126&amp;"-"&amp;J126,"-")</f>
        <v>-</v>
      </c>
      <c r="O126" s="35" t="str">
        <f>Table2[[#This Row],[Column3]]</f>
        <v>PNF-HiC2821</v>
      </c>
    </row>
    <row r="127" spans="1:15">
      <c r="A127" s="30" t="s">
        <v>296</v>
      </c>
      <c r="B127" s="30" t="s">
        <v>319</v>
      </c>
      <c r="C127" s="30" t="s">
        <v>285</v>
      </c>
      <c r="D127" s="30" t="s">
        <v>15</v>
      </c>
      <c r="E127" s="30">
        <v>14</v>
      </c>
      <c r="F127" s="30" t="str">
        <f>A127&amp;"-"&amp;B127&amp;"-"&amp;D127&amp;"("&amp;Table2[[#This Row],[Column5]]&amp;")"</f>
        <v>P4-TBSI4-M15(14)</v>
      </c>
      <c r="G127" s="30" t="s">
        <v>315</v>
      </c>
      <c r="H127" s="30"/>
      <c r="I127" s="31" t="s">
        <v>121</v>
      </c>
      <c r="J127" s="33">
        <v>33</v>
      </c>
      <c r="K127" s="31" t="s">
        <v>293</v>
      </c>
      <c r="L127" s="30" t="s">
        <v>16</v>
      </c>
      <c r="M127" s="30" t="str">
        <f>IF(Table2[[#This Row],[Need Mark]]="Y",I127&amp;"-"&amp;J127&amp;"/"&amp;F127,"-")</f>
        <v>C4S1-33/P4-TBSI4-M15(14)</v>
      </c>
      <c r="N127" s="30" t="str">
        <f>IF(Table2[[#This Row],[Need Mark]]="Y",F127&amp;"/"&amp;I127&amp;"-"&amp;J127,"-")</f>
        <v>P4-TBSI4-M15(14)/C4S1-33</v>
      </c>
      <c r="O127" s="35" t="str">
        <f>Table2[[#This Row],[Column3]]</f>
        <v>PNF-HiC2821</v>
      </c>
    </row>
    <row r="128" spans="1:15">
      <c r="A128" s="30" t="s">
        <v>296</v>
      </c>
      <c r="B128" s="30" t="s">
        <v>319</v>
      </c>
      <c r="C128" s="30" t="s">
        <v>285</v>
      </c>
      <c r="D128" s="30" t="str">
        <f>D127</f>
        <v>M15</v>
      </c>
      <c r="E128" s="30">
        <v>11</v>
      </c>
      <c r="F128" s="30" t="str">
        <f>A128&amp;"-"&amp;B128&amp;"-"&amp;D128&amp;"("&amp;Table2[[#This Row],[Column5]]&amp;")"</f>
        <v>P4-TBSI4-M15(11)</v>
      </c>
      <c r="G128" s="30"/>
      <c r="H128" s="30"/>
      <c r="I128" s="31" t="s">
        <v>317</v>
      </c>
      <c r="J128" s="33" t="s">
        <v>313</v>
      </c>
      <c r="K128" s="31" t="s">
        <v>297</v>
      </c>
      <c r="L128" s="30" t="s">
        <v>297</v>
      </c>
      <c r="M128" s="30" t="str">
        <f>IF(Table2[[#This Row],[Need Mark]]="Y",I128&amp;"-"&amp;J128&amp;"/"&amp;F128,"-")</f>
        <v>-</v>
      </c>
      <c r="N128" s="30" t="str">
        <f>IF(Table2[[#This Row],[Need Mark]]="Y",F128&amp;"/"&amp;I128&amp;"-"&amp;J128,"-")</f>
        <v>-</v>
      </c>
      <c r="O128" s="35" t="str">
        <f>Table2[[#This Row],[Column3]]</f>
        <v>PNF-HiC2821</v>
      </c>
    </row>
    <row r="129" spans="1:15">
      <c r="A129" s="30" t="s">
        <v>296</v>
      </c>
      <c r="B129" s="30" t="s">
        <v>319</v>
      </c>
      <c r="C129" s="30" t="s">
        <v>285</v>
      </c>
      <c r="D129" s="30" t="s">
        <v>12</v>
      </c>
      <c r="E129" s="30">
        <v>14</v>
      </c>
      <c r="F129" s="30" t="str">
        <f>A129&amp;"-"&amp;B129&amp;"-"&amp;D129&amp;"("&amp;Table2[[#This Row],[Column5]]&amp;")"</f>
        <v>P4-TBSI4-M16(14)</v>
      </c>
      <c r="G129" s="30" t="s">
        <v>315</v>
      </c>
      <c r="H129" s="30"/>
      <c r="I129" s="31" t="s">
        <v>121</v>
      </c>
      <c r="J129" s="33">
        <v>34</v>
      </c>
      <c r="K129" s="31" t="s">
        <v>293</v>
      </c>
      <c r="L129" s="30" t="s">
        <v>14</v>
      </c>
      <c r="M129" s="30" t="str">
        <f>IF(Table2[[#This Row],[Need Mark]]="Y",I129&amp;"-"&amp;J129&amp;"/"&amp;F129,"-")</f>
        <v>C4S1-34/P4-TBSI4-M16(14)</v>
      </c>
      <c r="N129" s="30" t="str">
        <f>IF(Table2[[#This Row],[Need Mark]]="Y",F129&amp;"/"&amp;I129&amp;"-"&amp;J129,"-")</f>
        <v>P4-TBSI4-M16(14)/C4S1-34</v>
      </c>
      <c r="O129" s="35" t="str">
        <f>Table2[[#This Row],[Column3]]</f>
        <v>PNF-HiC2821</v>
      </c>
    </row>
    <row r="130" spans="1:15">
      <c r="A130" s="30" t="s">
        <v>296</v>
      </c>
      <c r="B130" s="30" t="s">
        <v>319</v>
      </c>
      <c r="C130" s="30" t="s">
        <v>285</v>
      </c>
      <c r="D130" s="30" t="str">
        <f>D129</f>
        <v>M16</v>
      </c>
      <c r="E130" s="30">
        <v>11</v>
      </c>
      <c r="F130" s="30" t="str">
        <f>A130&amp;"-"&amp;B130&amp;"-"&amp;D130&amp;"("&amp;Table2[[#This Row],[Column5]]&amp;")"</f>
        <v>P4-TBSI4-M16(11)</v>
      </c>
      <c r="G130" s="30"/>
      <c r="H130" s="30"/>
      <c r="I130" s="31" t="s">
        <v>317</v>
      </c>
      <c r="J130" s="33" t="s">
        <v>313</v>
      </c>
      <c r="K130" s="31" t="s">
        <v>297</v>
      </c>
      <c r="L130" s="30" t="s">
        <v>297</v>
      </c>
      <c r="M130" s="30" t="str">
        <f>IF(Table2[[#This Row],[Need Mark]]="Y",I130&amp;"-"&amp;J130&amp;"/"&amp;F130,"-")</f>
        <v>-</v>
      </c>
      <c r="N130" s="30" t="str">
        <f>IF(Table2[[#This Row],[Need Mark]]="Y",F130&amp;"/"&amp;I130&amp;"-"&amp;J130,"-")</f>
        <v>-</v>
      </c>
      <c r="O130" s="35" t="str">
        <f>Table2[[#This Row],[Column3]]</f>
        <v>PNF-HiC2821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8A98-E4A7-DD41-9391-D0FA410E6867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C4S1</vt:lpstr>
      <vt:lpstr>C4S2</vt:lpstr>
      <vt:lpstr>C4S5</vt:lpstr>
      <vt:lpstr>C4S6</vt:lpstr>
      <vt:lpstr>C4S5_C4S6</vt:lpstr>
      <vt:lpstr>TBSI-All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2026-10-08T06:22:38Z</dcterms:created>
  <dcterms:modified xsi:type="dcterms:W3CDTF">2026-10-08T08:29:39Z</dcterms:modified>
</cp:coreProperties>
</file>