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3-IO_List/IO_Config_C4/"/>
    </mc:Choice>
  </mc:AlternateContent>
  <xr:revisionPtr revIDLastSave="0" documentId="8_{EE8B85A1-8456-DC40-9F15-71BC29AC81FB}" xr6:coauthVersionLast="47" xr6:coauthVersionMax="47" xr10:uidLastSave="{00000000-0000-0000-0000-000000000000}"/>
  <bookViews>
    <workbookView xWindow="5020" yWindow="5280" windowWidth="26040" windowHeight="14680" xr2:uid="{779A43ED-EB71-2044-9415-3C4AA599F152}"/>
  </bookViews>
  <sheets>
    <sheet name="TBSI-All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8" i="1" l="1"/>
  <c r="E208" i="1" s="1"/>
  <c r="E207" i="1"/>
  <c r="D206" i="1"/>
  <c r="E206" i="1" s="1"/>
  <c r="E205" i="1"/>
  <c r="D204" i="1"/>
  <c r="E204" i="1" s="1"/>
  <c r="E203" i="1"/>
  <c r="D202" i="1"/>
  <c r="E202" i="1" s="1"/>
  <c r="E201" i="1"/>
  <c r="E200" i="1"/>
  <c r="E199" i="1"/>
  <c r="D198" i="1"/>
  <c r="E198" i="1" s="1"/>
  <c r="E197" i="1"/>
  <c r="D196" i="1"/>
  <c r="E196" i="1" s="1"/>
  <c r="E195" i="1"/>
  <c r="D194" i="1"/>
  <c r="E194" i="1" s="1"/>
  <c r="E193" i="1"/>
  <c r="D192" i="1"/>
  <c r="E192" i="1" s="1"/>
  <c r="E191" i="1"/>
  <c r="D190" i="1"/>
  <c r="E190" i="1" s="1"/>
  <c r="E189" i="1"/>
  <c r="D188" i="1"/>
  <c r="E188" i="1" s="1"/>
  <c r="E187" i="1"/>
  <c r="D186" i="1"/>
  <c r="E186" i="1" s="1"/>
  <c r="E185" i="1"/>
  <c r="D184" i="1"/>
  <c r="E184" i="1" s="1"/>
  <c r="E183" i="1"/>
  <c r="E182" i="1"/>
  <c r="E181" i="1"/>
  <c r="D180" i="1"/>
  <c r="E180" i="1" s="1"/>
  <c r="E179" i="1"/>
  <c r="D178" i="1"/>
  <c r="E178" i="1" s="1"/>
  <c r="E177" i="1"/>
  <c r="D176" i="1"/>
  <c r="E176" i="1" s="1"/>
  <c r="E175" i="1"/>
  <c r="D174" i="1"/>
  <c r="E174" i="1" s="1"/>
  <c r="E173" i="1"/>
  <c r="O162" i="1"/>
  <c r="D162" i="1"/>
  <c r="F162" i="1" s="1"/>
  <c r="F161" i="1"/>
  <c r="O160" i="1"/>
  <c r="D160" i="1"/>
  <c r="F160" i="1" s="1"/>
  <c r="F159" i="1"/>
  <c r="O158" i="1"/>
  <c r="D158" i="1"/>
  <c r="F158" i="1" s="1"/>
  <c r="F157" i="1"/>
  <c r="O156" i="1"/>
  <c r="D156" i="1"/>
  <c r="F156" i="1" s="1"/>
  <c r="F155" i="1"/>
  <c r="O154" i="1"/>
  <c r="D154" i="1"/>
  <c r="F154" i="1" s="1"/>
  <c r="F153" i="1"/>
  <c r="O152" i="1"/>
  <c r="D152" i="1"/>
  <c r="F152" i="1" s="1"/>
  <c r="F151" i="1"/>
  <c r="O150" i="1"/>
  <c r="D150" i="1"/>
  <c r="F150" i="1" s="1"/>
  <c r="F149" i="1"/>
  <c r="O148" i="1"/>
  <c r="D148" i="1"/>
  <c r="F148" i="1" s="1"/>
  <c r="F147" i="1"/>
  <c r="O146" i="1"/>
  <c r="D146" i="1"/>
  <c r="F146" i="1" s="1"/>
  <c r="F145" i="1"/>
  <c r="O144" i="1"/>
  <c r="D144" i="1"/>
  <c r="F144" i="1" s="1"/>
  <c r="F143" i="1"/>
  <c r="O142" i="1"/>
  <c r="D142" i="1"/>
  <c r="F142" i="1" s="1"/>
  <c r="F141" i="1"/>
  <c r="O140" i="1"/>
  <c r="D140" i="1"/>
  <c r="F140" i="1" s="1"/>
  <c r="F139" i="1"/>
  <c r="O138" i="1"/>
  <c r="D138" i="1"/>
  <c r="F138" i="1" s="1"/>
  <c r="F137" i="1"/>
  <c r="O136" i="1"/>
  <c r="D136" i="1"/>
  <c r="F136" i="1" s="1"/>
  <c r="F135" i="1"/>
  <c r="O134" i="1"/>
  <c r="D134" i="1"/>
  <c r="F134" i="1" s="1"/>
  <c r="F133" i="1"/>
  <c r="O132" i="1"/>
  <c r="D132" i="1"/>
  <c r="F132" i="1" s="1"/>
  <c r="F131" i="1"/>
  <c r="O130" i="1"/>
  <c r="D130" i="1"/>
  <c r="F130" i="1" s="1"/>
  <c r="F129" i="1"/>
  <c r="O128" i="1"/>
  <c r="D128" i="1"/>
  <c r="F128" i="1" s="1"/>
  <c r="F127" i="1"/>
  <c r="O126" i="1"/>
  <c r="D126" i="1"/>
  <c r="F126" i="1" s="1"/>
  <c r="F125" i="1"/>
  <c r="O124" i="1"/>
  <c r="D124" i="1"/>
  <c r="F124" i="1" s="1"/>
  <c r="F123" i="1"/>
  <c r="O122" i="1"/>
  <c r="D122" i="1"/>
  <c r="F122" i="1" s="1"/>
  <c r="F121" i="1"/>
  <c r="O120" i="1"/>
  <c r="D120" i="1"/>
  <c r="F120" i="1" s="1"/>
  <c r="F119" i="1"/>
  <c r="O118" i="1"/>
  <c r="D118" i="1"/>
  <c r="F118" i="1" s="1"/>
  <c r="F117" i="1"/>
  <c r="O116" i="1"/>
  <c r="D116" i="1"/>
  <c r="F116" i="1" s="1"/>
  <c r="F115" i="1"/>
  <c r="O114" i="1"/>
  <c r="D114" i="1"/>
  <c r="F114" i="1" s="1"/>
  <c r="F113" i="1"/>
  <c r="O112" i="1"/>
  <c r="D112" i="1"/>
  <c r="F112" i="1" s="1"/>
  <c r="F111" i="1"/>
  <c r="O110" i="1"/>
  <c r="D110" i="1"/>
  <c r="F110" i="1" s="1"/>
  <c r="F109" i="1"/>
  <c r="O108" i="1"/>
  <c r="D108" i="1"/>
  <c r="F108" i="1" s="1"/>
  <c r="F107" i="1"/>
  <c r="O106" i="1"/>
  <c r="D106" i="1"/>
  <c r="F106" i="1" s="1"/>
  <c r="F105" i="1"/>
  <c r="O104" i="1"/>
  <c r="D104" i="1"/>
  <c r="F104" i="1" s="1"/>
  <c r="F103" i="1"/>
  <c r="O102" i="1"/>
  <c r="D102" i="1"/>
  <c r="F102" i="1" s="1"/>
  <c r="F101" i="1"/>
  <c r="O100" i="1"/>
  <c r="D100" i="1"/>
  <c r="F100" i="1" s="1"/>
  <c r="F99" i="1"/>
  <c r="N98" i="1"/>
  <c r="M98" i="1"/>
  <c r="D98" i="1"/>
  <c r="F98" i="1" s="1"/>
  <c r="N97" i="1"/>
  <c r="M97" i="1"/>
  <c r="F97" i="1"/>
  <c r="N96" i="1"/>
  <c r="M96" i="1"/>
  <c r="D96" i="1"/>
  <c r="F96" i="1" s="1"/>
  <c r="N95" i="1"/>
  <c r="M95" i="1"/>
  <c r="F95" i="1"/>
  <c r="N94" i="1"/>
  <c r="M94" i="1"/>
  <c r="D94" i="1"/>
  <c r="F94" i="1" s="1"/>
  <c r="N93" i="1"/>
  <c r="M93" i="1"/>
  <c r="F93" i="1"/>
  <c r="N92" i="1"/>
  <c r="M92" i="1"/>
  <c r="D92" i="1"/>
  <c r="F92" i="1" s="1"/>
  <c r="N91" i="1"/>
  <c r="M91" i="1"/>
  <c r="F91" i="1"/>
  <c r="N90" i="1"/>
  <c r="M90" i="1"/>
  <c r="D90" i="1"/>
  <c r="F90" i="1" s="1"/>
  <c r="N89" i="1"/>
  <c r="M89" i="1"/>
  <c r="F89" i="1"/>
  <c r="N88" i="1"/>
  <c r="M88" i="1"/>
  <c r="D88" i="1"/>
  <c r="F88" i="1" s="1"/>
  <c r="N87" i="1"/>
  <c r="M87" i="1"/>
  <c r="F87" i="1"/>
  <c r="N86" i="1"/>
  <c r="M86" i="1"/>
  <c r="D86" i="1"/>
  <c r="F86" i="1" s="1"/>
  <c r="N85" i="1"/>
  <c r="M85" i="1"/>
  <c r="F85" i="1"/>
  <c r="N84" i="1"/>
  <c r="M84" i="1"/>
  <c r="D84" i="1"/>
  <c r="F84" i="1" s="1"/>
  <c r="N83" i="1"/>
  <c r="M83" i="1"/>
  <c r="F83" i="1"/>
  <c r="O82" i="1"/>
  <c r="N82" i="1"/>
  <c r="M82" i="1"/>
  <c r="D82" i="1"/>
  <c r="F82" i="1" s="1"/>
  <c r="O81" i="1"/>
  <c r="F81" i="1"/>
  <c r="O80" i="1"/>
  <c r="N80" i="1"/>
  <c r="M80" i="1"/>
  <c r="D80" i="1"/>
  <c r="F80" i="1" s="1"/>
  <c r="O79" i="1"/>
  <c r="M79" i="1"/>
  <c r="F79" i="1"/>
  <c r="N79" i="1" s="1"/>
  <c r="O78" i="1"/>
  <c r="N78" i="1"/>
  <c r="M78" i="1"/>
  <c r="D78" i="1"/>
  <c r="F78" i="1" s="1"/>
  <c r="O77" i="1"/>
  <c r="F77" i="1"/>
  <c r="T76" i="1"/>
  <c r="S76" i="1"/>
  <c r="R76" i="1"/>
  <c r="Q76" i="1"/>
  <c r="P76" i="1"/>
  <c r="O76" i="1"/>
  <c r="N76" i="1"/>
  <c r="M76" i="1"/>
  <c r="D76" i="1"/>
  <c r="F76" i="1" s="1"/>
  <c r="O75" i="1"/>
  <c r="F75" i="1"/>
  <c r="T74" i="1"/>
  <c r="S74" i="1"/>
  <c r="R74" i="1"/>
  <c r="Q74" i="1"/>
  <c r="P74" i="1"/>
  <c r="O74" i="1"/>
  <c r="N74" i="1"/>
  <c r="M74" i="1"/>
  <c r="D74" i="1"/>
  <c r="F74" i="1" s="1"/>
  <c r="O73" i="1"/>
  <c r="F73" i="1"/>
  <c r="T72" i="1"/>
  <c r="S72" i="1"/>
  <c r="R72" i="1"/>
  <c r="Q72" i="1"/>
  <c r="P72" i="1"/>
  <c r="O72" i="1"/>
  <c r="N72" i="1"/>
  <c r="M72" i="1"/>
  <c r="D72" i="1"/>
  <c r="F72" i="1" s="1"/>
  <c r="O71" i="1"/>
  <c r="F71" i="1"/>
  <c r="T70" i="1"/>
  <c r="S70" i="1"/>
  <c r="R70" i="1"/>
  <c r="Q70" i="1"/>
  <c r="P70" i="1"/>
  <c r="O70" i="1"/>
  <c r="N70" i="1"/>
  <c r="M70" i="1"/>
  <c r="D70" i="1"/>
  <c r="F70" i="1" s="1"/>
  <c r="O69" i="1"/>
  <c r="F69" i="1"/>
  <c r="T68" i="1"/>
  <c r="S68" i="1"/>
  <c r="R68" i="1"/>
  <c r="Q68" i="1"/>
  <c r="P68" i="1"/>
  <c r="O68" i="1"/>
  <c r="D68" i="1"/>
  <c r="F68" i="1" s="1"/>
  <c r="O67" i="1"/>
  <c r="F67" i="1"/>
  <c r="T66" i="1"/>
  <c r="S66" i="1"/>
  <c r="R66" i="1"/>
  <c r="Q66" i="1"/>
  <c r="P66" i="1"/>
  <c r="O66" i="1"/>
  <c r="N66" i="1"/>
  <c r="M66" i="1"/>
  <c r="D66" i="1"/>
  <c r="F66" i="1" s="1"/>
  <c r="O65" i="1"/>
  <c r="F65" i="1"/>
  <c r="T64" i="1"/>
  <c r="S64" i="1"/>
  <c r="R64" i="1"/>
  <c r="Q64" i="1"/>
  <c r="P64" i="1"/>
  <c r="O64" i="1"/>
  <c r="N64" i="1"/>
  <c r="M64" i="1"/>
  <c r="D64" i="1"/>
  <c r="F64" i="1" s="1"/>
  <c r="O63" i="1"/>
  <c r="F63" i="1"/>
  <c r="T62" i="1"/>
  <c r="S62" i="1"/>
  <c r="R62" i="1"/>
  <c r="Q62" i="1"/>
  <c r="P62" i="1"/>
  <c r="O62" i="1"/>
  <c r="N62" i="1"/>
  <c r="M62" i="1"/>
  <c r="D62" i="1"/>
  <c r="F62" i="1" s="1"/>
  <c r="O61" i="1"/>
  <c r="F61" i="1"/>
  <c r="T60" i="1"/>
  <c r="S60" i="1"/>
  <c r="R60" i="1"/>
  <c r="Q60" i="1"/>
  <c r="P60" i="1"/>
  <c r="O60" i="1"/>
  <c r="N60" i="1"/>
  <c r="M60" i="1"/>
  <c r="D60" i="1"/>
  <c r="F60" i="1" s="1"/>
  <c r="O59" i="1"/>
  <c r="F59" i="1"/>
  <c r="T58" i="1"/>
  <c r="S58" i="1"/>
  <c r="R58" i="1"/>
  <c r="Q58" i="1"/>
  <c r="P58" i="1"/>
  <c r="O58" i="1"/>
  <c r="N58" i="1"/>
  <c r="M58" i="1"/>
  <c r="D58" i="1"/>
  <c r="F58" i="1" s="1"/>
  <c r="O57" i="1"/>
  <c r="F57" i="1"/>
  <c r="T56" i="1"/>
  <c r="S56" i="1"/>
  <c r="R56" i="1"/>
  <c r="Q56" i="1"/>
  <c r="P56" i="1"/>
  <c r="O56" i="1"/>
  <c r="N56" i="1"/>
  <c r="M56" i="1"/>
  <c r="D56" i="1"/>
  <c r="F56" i="1" s="1"/>
  <c r="O55" i="1"/>
  <c r="F55" i="1"/>
  <c r="T54" i="1"/>
  <c r="S54" i="1"/>
  <c r="R54" i="1"/>
  <c r="Q54" i="1"/>
  <c r="P54" i="1"/>
  <c r="O54" i="1"/>
  <c r="N54" i="1"/>
  <c r="M54" i="1"/>
  <c r="D54" i="1"/>
  <c r="F54" i="1" s="1"/>
  <c r="O53" i="1"/>
  <c r="F53" i="1"/>
  <c r="T52" i="1"/>
  <c r="S52" i="1"/>
  <c r="R52" i="1"/>
  <c r="Q52" i="1"/>
  <c r="P52" i="1"/>
  <c r="O52" i="1"/>
  <c r="N52" i="1"/>
  <c r="M52" i="1"/>
  <c r="D52" i="1"/>
  <c r="F52" i="1" s="1"/>
  <c r="O51" i="1"/>
  <c r="F51" i="1"/>
  <c r="T50" i="1"/>
  <c r="S50" i="1"/>
  <c r="R50" i="1"/>
  <c r="Q50" i="1"/>
  <c r="P50" i="1"/>
  <c r="O50" i="1"/>
  <c r="N50" i="1"/>
  <c r="M50" i="1"/>
  <c r="D50" i="1"/>
  <c r="F50" i="1" s="1"/>
  <c r="O49" i="1"/>
  <c r="F49" i="1"/>
  <c r="T48" i="1"/>
  <c r="S48" i="1"/>
  <c r="R48" i="1"/>
  <c r="Q48" i="1"/>
  <c r="P48" i="1"/>
  <c r="O48" i="1"/>
  <c r="N48" i="1"/>
  <c r="M48" i="1"/>
  <c r="D48" i="1"/>
  <c r="F48" i="1" s="1"/>
  <c r="O47" i="1"/>
  <c r="M47" i="1"/>
  <c r="F47" i="1"/>
  <c r="N47" i="1" s="1"/>
  <c r="O46" i="1"/>
  <c r="N46" i="1"/>
  <c r="M46" i="1"/>
  <c r="D46" i="1"/>
  <c r="F46" i="1" s="1"/>
  <c r="O45" i="1"/>
  <c r="F45" i="1"/>
  <c r="O44" i="1"/>
  <c r="N44" i="1"/>
  <c r="M44" i="1"/>
  <c r="D44" i="1"/>
  <c r="F44" i="1" s="1"/>
  <c r="O43" i="1"/>
  <c r="M43" i="1"/>
  <c r="F43" i="1"/>
  <c r="N43" i="1" s="1"/>
  <c r="O42" i="1"/>
  <c r="N42" i="1"/>
  <c r="M42" i="1"/>
  <c r="D42" i="1"/>
  <c r="F42" i="1" s="1"/>
  <c r="O41" i="1"/>
  <c r="F41" i="1"/>
  <c r="O40" i="1"/>
  <c r="N40" i="1"/>
  <c r="M40" i="1"/>
  <c r="D40" i="1"/>
  <c r="F40" i="1" s="1"/>
  <c r="O39" i="1"/>
  <c r="F39" i="1"/>
  <c r="O38" i="1"/>
  <c r="N38" i="1"/>
  <c r="M38" i="1"/>
  <c r="D38" i="1"/>
  <c r="F38" i="1" s="1"/>
  <c r="O37" i="1"/>
  <c r="F37" i="1"/>
  <c r="O36" i="1"/>
  <c r="D36" i="1"/>
  <c r="F36" i="1" s="1"/>
  <c r="O35" i="1"/>
  <c r="F35" i="1"/>
  <c r="O34" i="1"/>
  <c r="N34" i="1"/>
  <c r="M34" i="1"/>
  <c r="D34" i="1"/>
  <c r="F34" i="1" s="1"/>
  <c r="O33" i="1"/>
  <c r="F33" i="1"/>
  <c r="O32" i="1"/>
  <c r="N32" i="1"/>
  <c r="M32" i="1"/>
  <c r="D32" i="1"/>
  <c r="F32" i="1" s="1"/>
  <c r="O31" i="1"/>
  <c r="F31" i="1"/>
  <c r="O30" i="1"/>
  <c r="N30" i="1"/>
  <c r="M30" i="1"/>
  <c r="D30" i="1"/>
  <c r="F30" i="1" s="1"/>
  <c r="O29" i="1"/>
  <c r="F29" i="1"/>
  <c r="O28" i="1"/>
  <c r="N28" i="1"/>
  <c r="M28" i="1"/>
  <c r="D28" i="1"/>
  <c r="F28" i="1" s="1"/>
  <c r="O27" i="1"/>
  <c r="F27" i="1"/>
  <c r="O26" i="1"/>
  <c r="N26" i="1"/>
  <c r="M26" i="1"/>
  <c r="D26" i="1"/>
  <c r="F26" i="1" s="1"/>
  <c r="O25" i="1"/>
  <c r="F25" i="1"/>
  <c r="O24" i="1"/>
  <c r="N24" i="1"/>
  <c r="M24" i="1"/>
  <c r="D24" i="1"/>
  <c r="F24" i="1" s="1"/>
  <c r="O23" i="1"/>
  <c r="F23" i="1"/>
  <c r="O22" i="1"/>
  <c r="N22" i="1"/>
  <c r="M22" i="1"/>
  <c r="D22" i="1"/>
  <c r="F22" i="1" s="1"/>
  <c r="O21" i="1"/>
  <c r="M21" i="1"/>
  <c r="F21" i="1"/>
  <c r="N21" i="1" s="1"/>
  <c r="O20" i="1"/>
  <c r="N20" i="1"/>
  <c r="M20" i="1"/>
  <c r="D20" i="1"/>
  <c r="F20" i="1" s="1"/>
  <c r="O19" i="1"/>
  <c r="F19" i="1"/>
  <c r="O18" i="1"/>
  <c r="N18" i="1"/>
  <c r="M18" i="1"/>
  <c r="D18" i="1"/>
  <c r="F18" i="1" s="1"/>
  <c r="O17" i="1"/>
  <c r="F17" i="1"/>
  <c r="O16" i="1"/>
  <c r="N16" i="1"/>
  <c r="M16" i="1"/>
  <c r="D16" i="1"/>
  <c r="F16" i="1" s="1"/>
  <c r="O15" i="1"/>
  <c r="F15" i="1"/>
  <c r="O14" i="1"/>
  <c r="N14" i="1"/>
  <c r="M14" i="1"/>
  <c r="D14" i="1"/>
  <c r="F14" i="1" s="1"/>
  <c r="O13" i="1"/>
  <c r="F13" i="1"/>
  <c r="O12" i="1"/>
  <c r="N12" i="1"/>
  <c r="M12" i="1"/>
  <c r="D12" i="1"/>
  <c r="F12" i="1" s="1"/>
  <c r="O11" i="1"/>
  <c r="F11" i="1"/>
  <c r="O10" i="1"/>
  <c r="N10" i="1"/>
  <c r="M10" i="1"/>
  <c r="D10" i="1"/>
  <c r="F10" i="1" s="1"/>
  <c r="O9" i="1"/>
  <c r="F9" i="1"/>
  <c r="O8" i="1"/>
  <c r="N8" i="1"/>
  <c r="M8" i="1"/>
  <c r="D8" i="1"/>
  <c r="F8" i="1" s="1"/>
  <c r="O7" i="1"/>
  <c r="F7" i="1"/>
  <c r="O6" i="1"/>
  <c r="N6" i="1"/>
  <c r="M6" i="1"/>
  <c r="D6" i="1"/>
  <c r="F6" i="1" s="1"/>
  <c r="O5" i="1"/>
  <c r="F5" i="1"/>
  <c r="O4" i="1"/>
  <c r="D4" i="1"/>
  <c r="F4" i="1" s="1"/>
  <c r="O3" i="1"/>
  <c r="F3" i="1"/>
  <c r="F208" i="1" l="1"/>
  <c r="G208" i="1"/>
  <c r="G207" i="1"/>
  <c r="F207" i="1"/>
  <c r="G206" i="1"/>
  <c r="F206" i="1"/>
  <c r="G205" i="1"/>
  <c r="F205" i="1"/>
  <c r="F204" i="1"/>
  <c r="G204" i="1"/>
  <c r="F203" i="1"/>
  <c r="G203" i="1"/>
  <c r="F202" i="1"/>
  <c r="G202" i="1"/>
  <c r="F201" i="1"/>
  <c r="G201" i="1"/>
  <c r="F200" i="1"/>
  <c r="G200" i="1"/>
  <c r="G199" i="1"/>
  <c r="F199" i="1"/>
  <c r="F198" i="1"/>
  <c r="G198" i="1"/>
  <c r="G197" i="1"/>
  <c r="F197" i="1"/>
  <c r="F196" i="1"/>
  <c r="G196" i="1"/>
  <c r="F195" i="1"/>
  <c r="G195" i="1"/>
  <c r="F194" i="1"/>
  <c r="G194" i="1"/>
  <c r="G193" i="1"/>
  <c r="F193" i="1"/>
  <c r="F192" i="1"/>
  <c r="G192" i="1"/>
  <c r="F191" i="1"/>
  <c r="G191" i="1"/>
  <c r="F190" i="1"/>
  <c r="G190" i="1"/>
  <c r="G189" i="1"/>
  <c r="F189" i="1"/>
  <c r="F188" i="1"/>
  <c r="G188" i="1"/>
  <c r="F187" i="1"/>
  <c r="G187" i="1"/>
  <c r="G186" i="1"/>
  <c r="F186" i="1"/>
  <c r="F185" i="1"/>
  <c r="G185" i="1"/>
  <c r="F184" i="1"/>
  <c r="G184" i="1"/>
  <c r="G183" i="1"/>
  <c r="F183" i="1"/>
  <c r="G182" i="1"/>
  <c r="F182" i="1"/>
  <c r="F181" i="1"/>
  <c r="G181" i="1"/>
  <c r="G180" i="1"/>
  <c r="F180" i="1"/>
  <c r="G179" i="1"/>
  <c r="F179" i="1"/>
  <c r="F178" i="1"/>
  <c r="G178" i="1"/>
  <c r="F177" i="1"/>
  <c r="G177" i="1"/>
  <c r="G176" i="1"/>
  <c r="F176" i="1"/>
  <c r="G175" i="1"/>
  <c r="F175" i="1"/>
  <c r="G174" i="1"/>
  <c r="F174" i="1"/>
  <c r="F173" i="1"/>
  <c r="G173" i="1"/>
  <c r="N162" i="1"/>
  <c r="M162" i="1"/>
  <c r="N161" i="1"/>
  <c r="M161" i="1"/>
  <c r="N160" i="1"/>
  <c r="M160" i="1"/>
  <c r="N159" i="1"/>
  <c r="M159" i="1"/>
  <c r="M158" i="1"/>
  <c r="N158" i="1"/>
  <c r="M157" i="1"/>
  <c r="N157" i="1"/>
  <c r="M156" i="1"/>
  <c r="N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M149" i="1"/>
  <c r="N149" i="1"/>
  <c r="M148" i="1"/>
  <c r="N148" i="1"/>
  <c r="N147" i="1"/>
  <c r="M147" i="1"/>
  <c r="N146" i="1"/>
  <c r="M146" i="1"/>
  <c r="N145" i="1"/>
  <c r="M145" i="1"/>
  <c r="N144" i="1"/>
  <c r="M144" i="1"/>
  <c r="M143" i="1"/>
  <c r="N143" i="1"/>
  <c r="M142" i="1"/>
  <c r="N142" i="1"/>
  <c r="M141" i="1"/>
  <c r="N141" i="1"/>
  <c r="M140" i="1"/>
  <c r="N140" i="1"/>
  <c r="N139" i="1"/>
  <c r="M139" i="1"/>
  <c r="N138" i="1"/>
  <c r="M138" i="1"/>
  <c r="N137" i="1"/>
  <c r="M137" i="1"/>
  <c r="M136" i="1"/>
  <c r="N136" i="1"/>
  <c r="M135" i="1"/>
  <c r="N135" i="1"/>
  <c r="N134" i="1"/>
  <c r="M134" i="1"/>
  <c r="M133" i="1"/>
  <c r="N133" i="1"/>
  <c r="M132" i="1"/>
  <c r="N132" i="1"/>
  <c r="N131" i="1"/>
  <c r="M131" i="1"/>
  <c r="M130" i="1"/>
  <c r="N130" i="1"/>
  <c r="M129" i="1"/>
  <c r="N129" i="1"/>
  <c r="N128" i="1"/>
  <c r="M128" i="1"/>
  <c r="M127" i="1"/>
  <c r="N127" i="1"/>
  <c r="M126" i="1"/>
  <c r="N126" i="1"/>
  <c r="N125" i="1"/>
  <c r="M125" i="1"/>
  <c r="N124" i="1"/>
  <c r="M124" i="1"/>
  <c r="N123" i="1"/>
  <c r="M123" i="1"/>
  <c r="M122" i="1"/>
  <c r="N122" i="1"/>
  <c r="N121" i="1"/>
  <c r="M121" i="1"/>
  <c r="N120" i="1"/>
  <c r="M120" i="1"/>
  <c r="N119" i="1"/>
  <c r="M119" i="1"/>
  <c r="N118" i="1"/>
  <c r="M118" i="1"/>
  <c r="M117" i="1"/>
  <c r="N117" i="1"/>
  <c r="M116" i="1"/>
  <c r="N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M106" i="1"/>
  <c r="N106" i="1"/>
  <c r="M105" i="1"/>
  <c r="N105" i="1"/>
  <c r="M104" i="1"/>
  <c r="N104" i="1"/>
  <c r="M103" i="1"/>
  <c r="N103" i="1"/>
  <c r="M102" i="1"/>
  <c r="N102" i="1"/>
  <c r="M101" i="1"/>
  <c r="N101" i="1"/>
  <c r="N100" i="1"/>
  <c r="M100" i="1"/>
  <c r="M99" i="1"/>
  <c r="N99" i="1"/>
  <c r="N81" i="1"/>
  <c r="M81" i="1"/>
  <c r="M77" i="1"/>
  <c r="N77" i="1"/>
  <c r="N75" i="1"/>
  <c r="M75" i="1"/>
  <c r="N73" i="1"/>
  <c r="M73" i="1"/>
  <c r="N71" i="1"/>
  <c r="M71" i="1"/>
  <c r="N69" i="1"/>
  <c r="M69" i="1"/>
  <c r="M68" i="1"/>
  <c r="N68" i="1"/>
  <c r="N67" i="1"/>
  <c r="M67" i="1"/>
  <c r="N65" i="1"/>
  <c r="M65" i="1"/>
  <c r="M63" i="1"/>
  <c r="N63" i="1"/>
  <c r="M61" i="1"/>
  <c r="N61" i="1"/>
  <c r="M59" i="1"/>
  <c r="N59" i="1"/>
  <c r="N57" i="1"/>
  <c r="M57" i="1"/>
  <c r="N55" i="1"/>
  <c r="M55" i="1"/>
  <c r="M53" i="1"/>
  <c r="N53" i="1"/>
  <c r="M51" i="1"/>
  <c r="N51" i="1"/>
  <c r="N49" i="1"/>
  <c r="M49" i="1"/>
  <c r="N45" i="1"/>
  <c r="M45" i="1"/>
  <c r="M41" i="1"/>
  <c r="N41" i="1"/>
  <c r="M39" i="1"/>
  <c r="N39" i="1"/>
  <c r="N37" i="1"/>
  <c r="M37" i="1"/>
  <c r="M36" i="1"/>
  <c r="N36" i="1"/>
  <c r="N35" i="1"/>
  <c r="M35" i="1"/>
  <c r="N33" i="1"/>
  <c r="M33" i="1"/>
  <c r="N31" i="1"/>
  <c r="M31" i="1"/>
  <c r="N29" i="1"/>
  <c r="M29" i="1"/>
  <c r="M27" i="1"/>
  <c r="N27" i="1"/>
  <c r="N25" i="1"/>
  <c r="M25" i="1"/>
  <c r="M23" i="1"/>
  <c r="N23" i="1"/>
  <c r="M19" i="1"/>
  <c r="N19" i="1"/>
  <c r="N17" i="1"/>
  <c r="M17" i="1"/>
  <c r="M15" i="1"/>
  <c r="N15" i="1"/>
  <c r="N13" i="1"/>
  <c r="M13" i="1"/>
  <c r="N11" i="1"/>
  <c r="M11" i="1"/>
  <c r="N9" i="1"/>
  <c r="M9" i="1"/>
  <c r="M7" i="1"/>
  <c r="N7" i="1"/>
  <c r="N5" i="1"/>
  <c r="M5" i="1"/>
  <c r="M4" i="1"/>
  <c r="N4" i="1"/>
  <c r="M3" i="1"/>
  <c r="N3" i="1"/>
</calcChain>
</file>

<file path=xl/sharedStrings.xml><?xml version="1.0" encoding="utf-8"?>
<sst xmlns="http://schemas.openxmlformats.org/spreadsheetml/2006/main" count="1928" uniqueCount="374">
  <si>
    <t>Column1</t>
  </si>
  <si>
    <t>Column2</t>
  </si>
  <si>
    <t>Column3</t>
  </si>
  <si>
    <t>Column4</t>
  </si>
  <si>
    <t>Column5</t>
  </si>
  <si>
    <t>Column6</t>
  </si>
  <si>
    <t>Need Mark</t>
  </si>
  <si>
    <t>Column8</t>
  </si>
  <si>
    <t>Column9</t>
  </si>
  <si>
    <t>Column10</t>
  </si>
  <si>
    <t>Column11</t>
  </si>
  <si>
    <t>Column12</t>
  </si>
  <si>
    <t>Tag-Panel Side (Right)</t>
  </si>
  <si>
    <t>Tag Terminal Side (Left)</t>
  </si>
  <si>
    <t>Column15</t>
  </si>
  <si>
    <t>Column16</t>
  </si>
  <si>
    <t>Column17</t>
  </si>
  <si>
    <t>Column18</t>
  </si>
  <si>
    <t>Column19</t>
  </si>
  <si>
    <t>Column20</t>
  </si>
  <si>
    <t>P4</t>
  </si>
  <si>
    <t>TBSI1</t>
  </si>
  <si>
    <t>PNF-HiC2821</t>
  </si>
  <si>
    <t>M1</t>
  </si>
  <si>
    <t>Y</t>
  </si>
  <si>
    <t>C4S1</t>
  </si>
  <si>
    <t>DI</t>
  </si>
  <si>
    <t>IN-0</t>
  </si>
  <si>
    <t>IS-JB-603</t>
  </si>
  <si>
    <t>AT-40201_DI_1</t>
  </si>
  <si>
    <t>AT-40201</t>
  </si>
  <si>
    <t>Process Instrument</t>
  </si>
  <si>
    <t>ACTIVE</t>
  </si>
  <si>
    <t>TB-24VDC</t>
  </si>
  <si>
    <t>2(1)</t>
  </si>
  <si>
    <t>N/C</t>
  </si>
  <si>
    <t>M2</t>
  </si>
  <si>
    <t>IN-1</t>
  </si>
  <si>
    <t>AT-40202_DI_1</t>
  </si>
  <si>
    <t>AT-40202</t>
  </si>
  <si>
    <t>M3</t>
  </si>
  <si>
    <t>IN-2</t>
  </si>
  <si>
    <t>AT-40203_DI_1</t>
  </si>
  <si>
    <t>AT-40203</t>
  </si>
  <si>
    <t>M4</t>
  </si>
  <si>
    <t>IN-3</t>
  </si>
  <si>
    <t>LSH-60230_DI_1</t>
  </si>
  <si>
    <t>LSH-60230</t>
  </si>
  <si>
    <t>M5</t>
  </si>
  <si>
    <t>IN-4</t>
  </si>
  <si>
    <t>LSH-60231_DI_1</t>
  </si>
  <si>
    <t>LSH-60231</t>
  </si>
  <si>
    <t>M6</t>
  </si>
  <si>
    <t>IN-5</t>
  </si>
  <si>
    <t>LSH-60240_DI_1</t>
  </si>
  <si>
    <t>LSH-60240</t>
  </si>
  <si>
    <t>M7</t>
  </si>
  <si>
    <t>IN-6</t>
  </si>
  <si>
    <t>PD-60202_DI_1</t>
  </si>
  <si>
    <t>PD-60202</t>
  </si>
  <si>
    <t>M8</t>
  </si>
  <si>
    <t>IN-7</t>
  </si>
  <si>
    <t>RV-60204_DI_1</t>
  </si>
  <si>
    <t>RV-60204</t>
  </si>
  <si>
    <t>M9</t>
  </si>
  <si>
    <t>IN-8</t>
  </si>
  <si>
    <t>ZS-60201C_DI_1</t>
  </si>
  <si>
    <t>ZS-60201C</t>
  </si>
  <si>
    <t>M10</t>
  </si>
  <si>
    <t>IN-9</t>
  </si>
  <si>
    <t>ZS-60201D_DI_1</t>
  </si>
  <si>
    <t>ZS-60201D</t>
  </si>
  <si>
    <t>M11</t>
  </si>
  <si>
    <t>IN-10</t>
  </si>
  <si>
    <t>ZS-60201E_DI_1</t>
  </si>
  <si>
    <t>ZS-60201E</t>
  </si>
  <si>
    <t>M12</t>
  </si>
  <si>
    <t>IN-11</t>
  </si>
  <si>
    <t>ZS-60229_DI_1</t>
  </si>
  <si>
    <t>ZS-60229</t>
  </si>
  <si>
    <t>M13</t>
  </si>
  <si>
    <t>IN-12</t>
  </si>
  <si>
    <t>ZS-60230_DI_1</t>
  </si>
  <si>
    <t>ZS-60230</t>
  </si>
  <si>
    <t>M14</t>
  </si>
  <si>
    <t>IN-13</t>
  </si>
  <si>
    <t>ZS-60231A_DI_1</t>
  </si>
  <si>
    <t>ZS-60231A</t>
  </si>
  <si>
    <t>M15</t>
  </si>
  <si>
    <t>IN-14</t>
  </si>
  <si>
    <t>ZS-60231B_DI_1</t>
  </si>
  <si>
    <t>ZS-60231B</t>
  </si>
  <si>
    <t>M16</t>
  </si>
  <si>
    <t>IN-15</t>
  </si>
  <si>
    <t>IS-JB-608</t>
  </si>
  <si>
    <t>ZS-60201A_DI_1</t>
  </si>
  <si>
    <t>ZS-60201A</t>
  </si>
  <si>
    <t>TBSI2</t>
  </si>
  <si>
    <t>IN-16</t>
  </si>
  <si>
    <t>ZS-60201B_DI_1</t>
  </si>
  <si>
    <t>ZS-60201B</t>
  </si>
  <si>
    <t>2(2)</t>
  </si>
  <si>
    <t>IN-17</t>
  </si>
  <si>
    <t>ZS-60231C_DI_1</t>
  </si>
  <si>
    <t>ZS-60231C</t>
  </si>
  <si>
    <t>IN-18</t>
  </si>
  <si>
    <t>ZS-60231D_DI_1</t>
  </si>
  <si>
    <t>ZS-60231D</t>
  </si>
  <si>
    <t>IN-19</t>
  </si>
  <si>
    <t>ZS-60231E_DI_1</t>
  </si>
  <si>
    <t>ZS-60231E</t>
  </si>
  <si>
    <t>IN-20</t>
  </si>
  <si>
    <t>ZS-60231F_DI_1</t>
  </si>
  <si>
    <t>ZS-60231F</t>
  </si>
  <si>
    <t>IN-21</t>
  </si>
  <si>
    <t>ZS-60240_DI_1</t>
  </si>
  <si>
    <t>ZS-60240</t>
  </si>
  <si>
    <t>IN-22</t>
  </si>
  <si>
    <t>IS-JB-612</t>
  </si>
  <si>
    <t>ISV-61303_DI_1</t>
  </si>
  <si>
    <t>ISV-61303</t>
  </si>
  <si>
    <t>IN-23</t>
  </si>
  <si>
    <t>ISV-61304_DI_1</t>
  </si>
  <si>
    <t>ISV-61304</t>
  </si>
  <si>
    <t>IN-24</t>
  </si>
  <si>
    <t>LSH-61304_DI_1</t>
  </si>
  <si>
    <t>LSH-61304</t>
  </si>
  <si>
    <t>IN-25</t>
  </si>
  <si>
    <t>LSH-61305_DI_1</t>
  </si>
  <si>
    <t>LSH-61305</t>
  </si>
  <si>
    <t>IN-26</t>
  </si>
  <si>
    <t>LSH-61307_DI_1</t>
  </si>
  <si>
    <t>LSH-61307</t>
  </si>
  <si>
    <t>IN-27</t>
  </si>
  <si>
    <t>LSH-61312_DI_1</t>
  </si>
  <si>
    <t>LSH-61312</t>
  </si>
  <si>
    <t>IN-28</t>
  </si>
  <si>
    <t>PSE-61302_DI_1</t>
  </si>
  <si>
    <t>PSE-61302</t>
  </si>
  <si>
    <t>IN-29</t>
  </si>
  <si>
    <t>PSE-61303_DI_1</t>
  </si>
  <si>
    <t>PSE-61303</t>
  </si>
  <si>
    <t>IN-30</t>
  </si>
  <si>
    <t>RV-61301_DI_1</t>
  </si>
  <si>
    <t>RV-61301</t>
  </si>
  <si>
    <t>IN-31</t>
  </si>
  <si>
    <t>RV-61304_DI_1</t>
  </si>
  <si>
    <t>RV-61304</t>
  </si>
  <si>
    <t>TBSI3</t>
  </si>
  <si>
    <t>C4S2</t>
  </si>
  <si>
    <t>RV-61305_DI_1</t>
  </si>
  <si>
    <t>RV-61305</t>
  </si>
  <si>
    <t>SC-61301_DI_1</t>
  </si>
  <si>
    <t>SC-61301</t>
  </si>
  <si>
    <t>SC-61302_DI_1</t>
  </si>
  <si>
    <t>SC-61302</t>
  </si>
  <si>
    <t>ZS-61312_DI_1</t>
  </si>
  <si>
    <t>ZS-61312</t>
  </si>
  <si>
    <t>ZS-61313_DI_1</t>
  </si>
  <si>
    <t>ZS-61313</t>
  </si>
  <si>
    <t>TBSI4</t>
  </si>
  <si>
    <t>C4S5</t>
  </si>
  <si>
    <t>AI-RTN</t>
  </si>
  <si>
    <t>i RTN-0</t>
  </si>
  <si>
    <t>PT-60230_AI_1</t>
  </si>
  <si>
    <t>PT-60230</t>
  </si>
  <si>
    <t>AI</t>
  </si>
  <si>
    <t>i RTN-1</t>
  </si>
  <si>
    <t>PT-60231_AI_1</t>
  </si>
  <si>
    <t>PT-60231</t>
  </si>
  <si>
    <t>i RTN-2</t>
  </si>
  <si>
    <t>TT-60224_AI_1</t>
  </si>
  <si>
    <t>TT-60224</t>
  </si>
  <si>
    <t>i RTN-3</t>
  </si>
  <si>
    <t>TT-60225_AI_1</t>
  </si>
  <si>
    <t>TT-60225</t>
  </si>
  <si>
    <t>i RTN-4</t>
  </si>
  <si>
    <t>TT-60226_AI_1</t>
  </si>
  <si>
    <t>TT-60226</t>
  </si>
  <si>
    <t>i RTN-5</t>
  </si>
  <si>
    <t>TT-60227_AI_1</t>
  </si>
  <si>
    <t>TT-60227</t>
  </si>
  <si>
    <t>i RTN-6</t>
  </si>
  <si>
    <t>TT-60230_AI_1</t>
  </si>
  <si>
    <t>TT-60230</t>
  </si>
  <si>
    <t>C4S5-1/P4-TBSI4-M9(14)</t>
  </si>
  <si>
    <t>P4-TBSI4-M9(14)/C4S5-1</t>
  </si>
  <si>
    <t>C4S5-2/P4-TBSI4-M9(11)</t>
  </si>
  <si>
    <t>P4-TBSI4-M9(11)/C4S5-2</t>
  </si>
  <si>
    <t>i RTN-7</t>
  </si>
  <si>
    <t>PT-60220_AI_1</t>
  </si>
  <si>
    <t>PT-60220</t>
  </si>
  <si>
    <t>C4S5-3/P4-TBSI4-M10(14)</t>
  </si>
  <si>
    <t>P4-TBSI4-M10(14)/C4S5-3</t>
  </si>
  <si>
    <t>C4S5-4/P4-TBSI4-M10(11)</t>
  </si>
  <si>
    <t>P4-TBSI4-M10(11)/C4S5-4</t>
  </si>
  <si>
    <t>i RTN-8</t>
  </si>
  <si>
    <t>TT-60220_AI_1</t>
  </si>
  <si>
    <t>TT-60220</t>
  </si>
  <si>
    <t>C4S5-5/P4-TBSI4-M11(14)</t>
  </si>
  <si>
    <t>P4-TBSI4-M11(14)/C4S5-5</t>
  </si>
  <si>
    <t>C4S5-6/P4-TBSI4-M11(11)</t>
  </si>
  <si>
    <t>P4-TBSI4-M11(11)/C4S5-6</t>
  </si>
  <si>
    <t>i RTN-9</t>
  </si>
  <si>
    <t>TT-60221_AI_1</t>
  </si>
  <si>
    <t>TT-60221</t>
  </si>
  <si>
    <t>C4S5-7/P4-TBSI4-M12(14)</t>
  </si>
  <si>
    <t>P4-TBSI4-M12(14)/C4S5-7</t>
  </si>
  <si>
    <t>C4S5-8/P4-TBSI4-M12(11)</t>
  </si>
  <si>
    <t>P4-TBSI4-M12(11)/C4S5-8</t>
  </si>
  <si>
    <t>i RTN-10</t>
  </si>
  <si>
    <t>TT-60222_AI_1</t>
  </si>
  <si>
    <t>TT-60222</t>
  </si>
  <si>
    <t>C4S5-11/P4-TBSI4-M13(14)</t>
  </si>
  <si>
    <t>P4-TBSI4-M13(14)/C4S5-11</t>
  </si>
  <si>
    <t>C4S5-12/P4-TBSI4-M13(11)</t>
  </si>
  <si>
    <t>P4-TBSI4-M13(11)/C4S5-12</t>
  </si>
  <si>
    <t>i RTN-11</t>
  </si>
  <si>
    <t>TT-60223_AI_1</t>
  </si>
  <si>
    <t>TT-60223</t>
  </si>
  <si>
    <t>C4S5-13/P4-TBSI4-M14(14)</t>
  </si>
  <si>
    <t>P4-TBSI4-M14(14)/C4S5-13</t>
  </si>
  <si>
    <t>C4S5-14/P4-TBSI4-M14(11)</t>
  </si>
  <si>
    <t>P4-TBSI4-M14(11)/C4S5-14</t>
  </si>
  <si>
    <t>i RTN-12</t>
  </si>
  <si>
    <t>XT-60201_AI_1</t>
  </si>
  <si>
    <t>XT-60201</t>
  </si>
  <si>
    <t>C4S5-15/P4-TBSI4-M15(14)</t>
  </si>
  <si>
    <t>P4-TBSI4-M15(14)/C4S5-15</t>
  </si>
  <si>
    <t>C4S5-16/P4-TBSI4-M15(11)</t>
  </si>
  <si>
    <t>P4-TBSI4-M15(11)/C4S5-16</t>
  </si>
  <si>
    <t>i RTN-13</t>
  </si>
  <si>
    <t>DPT-61310_AI_1</t>
  </si>
  <si>
    <t>DPT-61310</t>
  </si>
  <si>
    <t>C4S5-17/P4-TBSI4-M16(14)</t>
  </si>
  <si>
    <t>P4-TBSI4-M16(14)/C4S5-17</t>
  </si>
  <si>
    <t>C4S5-18/P4-TBSI4-M16(11)</t>
  </si>
  <si>
    <t>P4-TBSI4-M16(11)/C4S5-18</t>
  </si>
  <si>
    <t>i RTN-14</t>
  </si>
  <si>
    <t>DPT-61312_AI_1</t>
  </si>
  <si>
    <t>DPT-61312</t>
  </si>
  <si>
    <t>C4S5-19/P4-TBSI5-M1(14)</t>
  </si>
  <si>
    <t>P4-TBSI5-M1(14)/C4S5-19</t>
  </si>
  <si>
    <t>C4S5-20/P4-TBSI5-M1(11)</t>
  </si>
  <si>
    <t>P4-TBSI5-M1(11)/C4S5-20</t>
  </si>
  <si>
    <t>i RTN-15</t>
  </si>
  <si>
    <t>IS-JB-618</t>
  </si>
  <si>
    <t>DPT-61301_AI_1</t>
  </si>
  <si>
    <t>DPT-61301</t>
  </si>
  <si>
    <t>C4S5-21/P4-TBSI5-M2(14)</t>
  </si>
  <si>
    <t>P4-TBSI5-M2(14)/C4S5-21</t>
  </si>
  <si>
    <t>C4S5-22/P4-TBSI5-M2(11)</t>
  </si>
  <si>
    <t>P4-TBSI5-M2(11)/C4S5-22</t>
  </si>
  <si>
    <t>TBSI5</t>
  </si>
  <si>
    <t>C4S6</t>
  </si>
  <si>
    <t>DPT-61302_AI_1</t>
  </si>
  <si>
    <t>DPT-61302</t>
  </si>
  <si>
    <t>C4S5-23/P4-TBSI5-M3(14)</t>
  </si>
  <si>
    <t>P4-TBSI5-M3(14)/C4S5-23</t>
  </si>
  <si>
    <t>C4S5-24/P4-TBSI5-M3(11)</t>
  </si>
  <si>
    <t>P4-TBSI5-M3(11)/C4S5-24</t>
  </si>
  <si>
    <t>LT-61301_AI_1</t>
  </si>
  <si>
    <t>LT-61301</t>
  </si>
  <si>
    <t>C4S5-25/P4-TBSI5-M4(14)</t>
  </si>
  <si>
    <t>P4-TBSI5-M4(14)/C4S5-25</t>
  </si>
  <si>
    <t>C4S5-26/P4-TBSI5-M4(11)</t>
  </si>
  <si>
    <t>P4-TBSI5-M4(11)/C4S5-26</t>
  </si>
  <si>
    <t>PT-61301_AI_1</t>
  </si>
  <si>
    <t>PT-61301</t>
  </si>
  <si>
    <t>C4S5-29/P4-TBSI5-M5(14)</t>
  </si>
  <si>
    <t>P4-TBSI5-M5(14)/C4S5-29</t>
  </si>
  <si>
    <t>C4S5-30/P4-TBSI5-M5(11)</t>
  </si>
  <si>
    <t>P4-TBSI5-M5(11)/C4S5-30</t>
  </si>
  <si>
    <t>PT-61303_AI_1</t>
  </si>
  <si>
    <t>PT-61303</t>
  </si>
  <si>
    <t>C4S5-31/P4-TBSI5-M6(14)</t>
  </si>
  <si>
    <t>P4-TBSI5-M6(14)/C4S5-31</t>
  </si>
  <si>
    <t>C4S5-32/P4-TBSI5-M6(11)</t>
  </si>
  <si>
    <t>P4-TBSI5-M6(11)/C4S5-32</t>
  </si>
  <si>
    <t>PT-61304_AI_1</t>
  </si>
  <si>
    <t>PT-61304</t>
  </si>
  <si>
    <t>C4S5-33/P4-TBSI5-M7(14)</t>
  </si>
  <si>
    <t>P4-TBSI5-M7(14)/C4S5-33</t>
  </si>
  <si>
    <t>C4S5-34/P4-TBSI5-M7(11)</t>
  </si>
  <si>
    <t>P4-TBSI5-M7(11)/C4S5-34</t>
  </si>
  <si>
    <t>PT-61305_AI_1</t>
  </si>
  <si>
    <t>PT-61305</t>
  </si>
  <si>
    <t>C4S5-35/P4-TBSI5-M8(14)</t>
  </si>
  <si>
    <t>P4-TBSI5-M8(14)/C4S5-35</t>
  </si>
  <si>
    <t>C4S5-36/P4-TBSI5-M8(11)</t>
  </si>
  <si>
    <t>P4-TBSI5-M8(11)/C4S5-36</t>
  </si>
  <si>
    <t>TT-61301_AI_1</t>
  </si>
  <si>
    <t>TT-61301</t>
  </si>
  <si>
    <t>C4S6-1/P4-TBSI5-M9(14)</t>
  </si>
  <si>
    <t>P4-TBSI5-M9(14)/C4S6-1</t>
  </si>
  <si>
    <t>C4S6-2/P4-TBSI5-M9(11)</t>
  </si>
  <si>
    <t>P4-TBSI5-M9(11)/C4S6-2</t>
  </si>
  <si>
    <t>TT-61302_AI_1</t>
  </si>
  <si>
    <t>TT-61302</t>
  </si>
  <si>
    <t>C4S6-3/P4-TBSI5-M10(14)</t>
  </si>
  <si>
    <t>P4-TBSI5-M10(14)/C4S6-3</t>
  </si>
  <si>
    <t>C4S6-4/P4-TBSI5-M10(11)</t>
  </si>
  <si>
    <t>P4-TBSI5-M10(11)/C4S6-4</t>
  </si>
  <si>
    <t>C4S6-5/P4-TBSI5-M11(14)</t>
  </si>
  <si>
    <t>P4-TBSI5-M11(14)/C4S6-5</t>
  </si>
  <si>
    <t>C4S6-6/P4-TBSI5-M11(11)</t>
  </si>
  <si>
    <t>P4-TBSI5-M11(11)/C4S6-6</t>
  </si>
  <si>
    <t>C4S6-7/P4-TBSI5-M12(14)</t>
  </si>
  <si>
    <t>P4-TBSI5-M12(14)/C4S6-7</t>
  </si>
  <si>
    <t>C4S6-8/P4-TBSI5-M12(11)</t>
  </si>
  <si>
    <t>P4-TBSI5-M12(11)/C4S6-8</t>
  </si>
  <si>
    <t>C4S6-11/P4-TBSI5-M13(14)</t>
  </si>
  <si>
    <t>P4-TBSI5-M13(14)/C4S6-11</t>
  </si>
  <si>
    <t>C4S6-12/P4-TBSI5-M13(11)</t>
  </si>
  <si>
    <t>P4-TBSI5-M13(11)/C4S6-12</t>
  </si>
  <si>
    <t>C4S6-13/P4-TBSI5-M14(14)</t>
  </si>
  <si>
    <t>P4-TBSI5-M14(14)/C4S6-13</t>
  </si>
  <si>
    <t>C4S6-14/P4-TBSI5-M14(11)</t>
  </si>
  <si>
    <t>P4-TBSI5-M14(11)/C4S6-14</t>
  </si>
  <si>
    <t>C4S6-15/P4-TBSI5-M15(14)</t>
  </si>
  <si>
    <t>P4-TBSI5-M15(14)/C4S6-15</t>
  </si>
  <si>
    <t>C4S6-16/P4-TBSI5-M15(11)</t>
  </si>
  <si>
    <t>P4-TBSI5-M15(11)/C4S6-16</t>
  </si>
  <si>
    <t>C4S6-17/P4-TBSI5-M16(14)</t>
  </si>
  <si>
    <t>P4-TBSI5-M16(14)/C4S6-17</t>
  </si>
  <si>
    <t>C4S6-18/P4-TBSI5-M16(11)</t>
  </si>
  <si>
    <t>P4-TBSI5-M16(11)/C4S6-18</t>
  </si>
  <si>
    <t>C4S6-19/P4TBAI1-1(14)</t>
  </si>
  <si>
    <t>P4TBAI1-1(14)/C4S6-19</t>
  </si>
  <si>
    <t>C4S5-20/P4TBAI1-1(11)</t>
  </si>
  <si>
    <t>P4TBAI1-1(11)/C4S5-20</t>
  </si>
  <si>
    <t>C4S5-21/P4TBAI1-2(A)</t>
  </si>
  <si>
    <t>P4TBAI1-2(A)/C4S5-21</t>
  </si>
  <si>
    <t>C4S5-22/P4TBAI1-2(B)</t>
  </si>
  <si>
    <t>P4TBAI1-2(B)/C4S5-22</t>
  </si>
  <si>
    <t>C4S5-23/P4TBAI1-3(14)</t>
  </si>
  <si>
    <t>P4TBAI1-3(14)/C4S5-23</t>
  </si>
  <si>
    <t>C4S5-24/P4TBAI1-3(11)</t>
  </si>
  <si>
    <t>P4TBAI1-3(11)/C4S5-24</t>
  </si>
  <si>
    <t>C4S5-25/P4TBAI1-4(14)</t>
  </si>
  <si>
    <t>P4TBAI1-4(14)/C4S5-25</t>
  </si>
  <si>
    <t>C4S5-26/P4TBAI1-4(11)</t>
  </si>
  <si>
    <t>P4TBAI1-4(11)/C4S5-26</t>
  </si>
  <si>
    <t>C4S5-29/P4TBAI1-5(14)</t>
  </si>
  <si>
    <t>P4TBAI1-5(14)/C4S5-29</t>
  </si>
  <si>
    <t>C4S5-30/P4TBAI1-5(11)</t>
  </si>
  <si>
    <t>P4TBAI1-5(11)/C4S5-30</t>
  </si>
  <si>
    <t>C4S5-31/P4TBAI1-6(14)</t>
  </si>
  <si>
    <t>P4TBAI1-6(14)/C4S5-31</t>
  </si>
  <si>
    <t>C4S5-32/P4TBAI1-6(11)</t>
  </si>
  <si>
    <t>P4TBAI1-6(11)/C4S5-32</t>
  </si>
  <si>
    <t>C4S5-33/P4TBAI1-7(14)</t>
  </si>
  <si>
    <t>P4TBAI1-7(14)/C4S5-33</t>
  </si>
  <si>
    <t>C4S5-34/P4TBAI1-7(11)</t>
  </si>
  <si>
    <t>P4TBAI1-7(11)/C4S5-34</t>
  </si>
  <si>
    <t>P4-TBSI6</t>
  </si>
  <si>
    <t>Differential Pressure Transmitte</t>
  </si>
  <si>
    <t>C4S5-35/P4TBAI1-8(14)</t>
  </si>
  <si>
    <t>P4TBAI1-8(14)/C4S5-35</t>
  </si>
  <si>
    <t>C4S5-36/P4TBAI1-8(11)</t>
  </si>
  <si>
    <t>P4TBAI1-8(11)/C4S5-36</t>
  </si>
  <si>
    <t>Differential Pressure Transmitter</t>
  </si>
  <si>
    <t>Spare_AI_0</t>
  </si>
  <si>
    <t>Spare</t>
  </si>
  <si>
    <t>Spare Reserve Channel</t>
  </si>
  <si>
    <t>SPARE</t>
  </si>
  <si>
    <t>RTN</t>
  </si>
  <si>
    <t>Internal Power Common</t>
  </si>
  <si>
    <t>-</t>
  </si>
  <si>
    <t>Module Power / Common Return Terminal</t>
  </si>
  <si>
    <t>COMMON</t>
  </si>
  <si>
    <t>Level Transmitter</t>
  </si>
  <si>
    <t>Pressure Transmitter</t>
  </si>
  <si>
    <t>Temperature Transmitter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</si>
</sst>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Sarabun Regular"/>
    </font>
    <font>
      <sz val="10"/>
      <color rgb="FF334155"/>
      <name val="Sarabun Regular"/>
    </font>
    <font>
      <sz val="10"/>
      <color rgb="FF14532D"/>
      <name val="Sarabun Regular"/>
    </font>
    <font>
      <sz val="10"/>
      <color theme="1"/>
      <name val="Sarabun Regular"/>
    </font>
    <font>
      <sz val="10"/>
      <color rgb="FFFF0000"/>
      <name val="Sarabun Regular"/>
    </font>
    <font>
      <sz val="9"/>
      <name val="Arial"/>
      <family val="2"/>
    </font>
    <font>
      <b/>
      <sz val="9"/>
      <color rgb="FF14532D"/>
      <name val="Arial"/>
      <family val="2"/>
    </font>
    <font>
      <sz val="9"/>
      <color rgb="FF854D0E"/>
      <name val="Arial"/>
      <family val="2"/>
    </font>
    <font>
      <sz val="8.5"/>
      <color rgb="FF47556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EF9C3"/>
        <bgColor rgb="FFFEF9C3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0" xfId="0" applyFont="1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rabun Regular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rabun Regular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rabun Regular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rabun Regular"/>
        <scheme val="none"/>
      </font>
      <fill>
        <patternFill patternType="none">
          <fgColor rgb="FFFFFFFF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60DED-1FB0-5B4D-88CD-A15C1AC81AB0}" name="Table2" displayName="Table2" ref="A2:T162" totalsRowShown="0" headerRowDxfId="21" dataDxfId="20">
  <autoFilter ref="A2:T162" xr:uid="{FD161B8F-4F3B-474F-9233-116F1CB484F2}"/>
  <tableColumns count="20">
    <tableColumn id="1" xr3:uid="{C153D74C-5B64-C145-9189-4CED6E5697FA}" name="Column1" dataDxfId="19"/>
    <tableColumn id="2" xr3:uid="{94657C85-987B-6D40-A713-DD5E393C8B86}" name="Column2" dataDxfId="18"/>
    <tableColumn id="3" xr3:uid="{6806A663-3A6C-6F4B-BB59-76C5FFB3FDD9}" name="Column3" dataDxfId="17"/>
    <tableColumn id="4" xr3:uid="{0E4DD7FD-27A6-784D-8DDF-63DFDF553743}" name="Column4" dataDxfId="16"/>
    <tableColumn id="5" xr3:uid="{BCBC418D-5316-0440-A4B8-0F3897F486FC}" name="Column5" dataDxfId="15"/>
    <tableColumn id="6" xr3:uid="{86E697F0-1ACD-0F49-9C67-A2E52887A20F}" name="Column6" dataDxfId="14">
      <calculatedColumnFormula>A3&amp;"-"&amp;B3&amp;"-"&amp;D3&amp;"("&amp;Table2[[#This Row],[Column5]]&amp;")"</calculatedColumnFormula>
    </tableColumn>
    <tableColumn id="7" xr3:uid="{FB08D9CB-2A71-A74C-BC17-4919AC8EC73C}" name="Need Mark" dataDxfId="13"/>
    <tableColumn id="8" xr3:uid="{F9F4442F-2540-FE40-BF0B-023511792150}" name="Column8" dataDxfId="12"/>
    <tableColumn id="9" xr3:uid="{A7BB4BAF-08D8-7A4D-AC83-ED7B4E960EBB}" name="Column9" dataDxfId="11"/>
    <tableColumn id="10" xr3:uid="{0A68A456-E7D9-9741-BCFC-0A2E5F502FF8}" name="Column10" dataDxfId="10"/>
    <tableColumn id="11" xr3:uid="{7B766B9F-B07B-D94C-8558-21D24370EC91}" name="Column11" dataDxfId="9"/>
    <tableColumn id="12" xr3:uid="{0DAE4320-57B8-934E-AA9A-52FC827BB739}" name="Column12" dataDxfId="8"/>
    <tableColumn id="13" xr3:uid="{42BB44BE-C531-1646-BAE0-23ABCBA4A6A2}" name="Tag-Panel Side (Right)" dataDxfId="7">
      <calculatedColumnFormula>IF(Table2[[#This Row],[Need Mark]]="Y",I3&amp;"-"&amp;J3&amp;"/"&amp;F3,"-")</calculatedColumnFormula>
    </tableColumn>
    <tableColumn id="14" xr3:uid="{47D850E2-6AE1-3049-B9A7-185078F25690}" name="Tag Terminal Side (Left)" dataDxfId="6">
      <calculatedColumnFormula>IF(Table2[[#This Row],[Need Mark]]="Y",F3&amp;"/"&amp;I3&amp;"-"&amp;J3,"-")</calculatedColumnFormula>
    </tableColumn>
    <tableColumn id="15" xr3:uid="{6A72F918-151E-5240-9F6A-428B91B4C872}" name="Column15" dataDxfId="5">
      <calculatedColumnFormula>Table2[[#This Row],[Column3]]</calculatedColumnFormula>
    </tableColumn>
    <tableColumn id="16" xr3:uid="{2D2B50DE-87F8-F24B-B57A-B77C82CD1692}" name="Column16" dataDxfId="4"/>
    <tableColumn id="17" xr3:uid="{83ED73B4-F504-BC49-8315-3169079B2822}" name="Column17" dataDxfId="3"/>
    <tableColumn id="18" xr3:uid="{9E962CE6-8EF6-474E-8EC5-C9C314922199}" name="Column18" dataDxfId="2"/>
    <tableColumn id="19" xr3:uid="{7444B135-5B7A-A344-AD7A-CF42FE5414C9}" name="Column19" dataDxfId="1"/>
    <tableColumn id="20" xr3:uid="{B2AB1661-17A0-034F-8BA8-463087B05D4C}" name="Column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35DF-B868-E543-A117-49EF8DFAF243}">
  <dimension ref="A2:X208"/>
  <sheetViews>
    <sheetView tabSelected="1" topLeftCell="A77" workbookViewId="0">
      <selection activeCell="N112" sqref="N112"/>
    </sheetView>
  </sheetViews>
  <sheetFormatPr baseColWidth="10" defaultRowHeight="15"/>
  <cols>
    <col min="1" max="1" width="10.33203125" style="5" customWidth="1"/>
    <col min="2" max="2" width="12" style="5" customWidth="1"/>
    <col min="3" max="3" width="17.5" style="5" customWidth="1"/>
    <col min="4" max="5" width="10.33203125" style="5" customWidth="1"/>
    <col min="6" max="6" width="14.83203125" style="5" bestFit="1" customWidth="1"/>
    <col min="7" max="7" width="13.6640625" style="5" customWidth="1"/>
    <col min="8" max="8" width="10.83203125" style="5"/>
    <col min="9" max="9" width="11.6640625" style="5" customWidth="1"/>
    <col min="10" max="10" width="11.33203125" style="11" customWidth="1"/>
    <col min="11" max="12" width="11.33203125" style="5" customWidth="1"/>
    <col min="13" max="13" width="39.1640625" style="5" customWidth="1"/>
    <col min="14" max="14" width="25.83203125" style="5" bestFit="1" customWidth="1"/>
    <col min="15" max="15" width="17.33203125" style="5" customWidth="1"/>
    <col min="16" max="16" width="11.33203125" style="5" customWidth="1"/>
    <col min="17" max="17" width="19.83203125" style="5" bestFit="1" customWidth="1"/>
    <col min="18" max="18" width="11.33203125" style="5" customWidth="1"/>
    <col min="19" max="19" width="33.1640625" style="5" bestFit="1" customWidth="1"/>
    <col min="20" max="20" width="11.33203125" style="5" customWidth="1"/>
    <col min="21" max="22" width="10.83203125" style="5"/>
    <col min="23" max="24" width="22.1640625" style="5" bestFit="1" customWidth="1"/>
    <col min="25" max="16384" width="10.83203125" style="5"/>
  </cols>
  <sheetData>
    <row r="2" spans="1:2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3" t="s">
        <v>9</v>
      </c>
      <c r="K2" s="2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4" t="s">
        <v>19</v>
      </c>
    </row>
    <row r="3" spans="1:20" s="8" customFormat="1">
      <c r="A3" s="6" t="s">
        <v>20</v>
      </c>
      <c r="B3" s="6" t="s">
        <v>21</v>
      </c>
      <c r="C3" s="6" t="s">
        <v>22</v>
      </c>
      <c r="D3" s="6" t="s">
        <v>23</v>
      </c>
      <c r="E3" s="6">
        <v>14</v>
      </c>
      <c r="F3" s="6" t="str">
        <f>A3&amp;"-"&amp;B3&amp;"-"&amp;D3&amp;"("&amp;Table2[[#This Row],[Column5]]&amp;")"</f>
        <v>P4-TBSI1-M1(14)</v>
      </c>
      <c r="G3" s="6" t="s">
        <v>24</v>
      </c>
      <c r="H3" s="6"/>
      <c r="I3" s="6" t="s">
        <v>25</v>
      </c>
      <c r="J3" s="7">
        <v>1</v>
      </c>
      <c r="K3" s="6" t="s">
        <v>26</v>
      </c>
      <c r="L3" s="6" t="s">
        <v>27</v>
      </c>
      <c r="M3" s="6" t="str">
        <f>IF(Table2[[#This Row],[Need Mark]]="Y",I3&amp;"-"&amp;J3&amp;"/"&amp;F3,"-")</f>
        <v>C4S1-1/P4-TBSI1-M1(14)</v>
      </c>
      <c r="N3" s="6" t="str">
        <f>IF(Table2[[#This Row],[Need Mark]]="Y",F3&amp;"/"&amp;I3&amp;"-"&amp;J3,"-")</f>
        <v>P4-TBSI1-M1(14)/C4S1-1</v>
      </c>
      <c r="O3" s="6" t="str">
        <f>Table2[[#This Row],[Column3]]</f>
        <v>PNF-HiC2821</v>
      </c>
      <c r="P3" s="6" t="s">
        <v>28</v>
      </c>
      <c r="Q3" s="6" t="s">
        <v>29</v>
      </c>
      <c r="R3" s="6" t="s">
        <v>30</v>
      </c>
      <c r="S3" s="6" t="s">
        <v>31</v>
      </c>
      <c r="T3" s="6" t="s">
        <v>32</v>
      </c>
    </row>
    <row r="4" spans="1:20" s="8" customFormat="1">
      <c r="A4" s="6" t="s">
        <v>20</v>
      </c>
      <c r="B4" s="6" t="s">
        <v>21</v>
      </c>
      <c r="C4" s="6" t="s">
        <v>22</v>
      </c>
      <c r="D4" s="6" t="str">
        <f>D3</f>
        <v>M1</v>
      </c>
      <c r="E4" s="6">
        <v>11</v>
      </c>
      <c r="F4" s="6" t="str">
        <f>A4&amp;"-"&amp;B4&amp;"-"&amp;D4&amp;"("&amp;Table2[[#This Row],[Column5]]&amp;")"</f>
        <v>P4-TBSI1-M1(11)</v>
      </c>
      <c r="G4" s="6" t="s">
        <v>24</v>
      </c>
      <c r="H4" s="6"/>
      <c r="I4" s="6" t="s">
        <v>33</v>
      </c>
      <c r="J4" s="7" t="s">
        <v>34</v>
      </c>
      <c r="K4" s="6" t="s">
        <v>35</v>
      </c>
      <c r="L4" s="6" t="s">
        <v>35</v>
      </c>
      <c r="M4" s="6" t="str">
        <f>IF(Table2[[#This Row],[Need Mark]]="Y",I4&amp;"-"&amp;J4&amp;"/"&amp;F4,"-")</f>
        <v>TB-24VDC-2(1)/P4-TBSI1-M1(11)</v>
      </c>
      <c r="N4" s="6" t="str">
        <f>IF(Table2[[#This Row],[Need Mark]]="Y",F4&amp;"/"&amp;I4&amp;"-"&amp;J4,"-")</f>
        <v>P4-TBSI1-M1(11)/TB-24VDC-2(1)</v>
      </c>
      <c r="O4" s="6" t="str">
        <f>Table2[[#This Row],[Column3]]</f>
        <v>PNF-HiC2821</v>
      </c>
      <c r="P4" s="8" t="s">
        <v>28</v>
      </c>
      <c r="Q4" s="8" t="s">
        <v>29</v>
      </c>
      <c r="R4" s="8" t="s">
        <v>30</v>
      </c>
      <c r="S4" s="8" t="s">
        <v>31</v>
      </c>
      <c r="T4" s="8" t="s">
        <v>32</v>
      </c>
    </row>
    <row r="5" spans="1:20" s="8" customFormat="1">
      <c r="A5" s="6" t="s">
        <v>20</v>
      </c>
      <c r="B5" s="6" t="s">
        <v>21</v>
      </c>
      <c r="C5" s="6" t="s">
        <v>22</v>
      </c>
      <c r="D5" s="6" t="s">
        <v>36</v>
      </c>
      <c r="E5" s="6">
        <v>14</v>
      </c>
      <c r="F5" s="6" t="str">
        <f>A5&amp;"-"&amp;B5&amp;"-"&amp;D5&amp;"("&amp;Table2[[#This Row],[Column5]]&amp;")"</f>
        <v>P4-TBSI1-M2(14)</v>
      </c>
      <c r="G5" s="6" t="s">
        <v>24</v>
      </c>
      <c r="H5" s="6"/>
      <c r="I5" s="6" t="s">
        <v>25</v>
      </c>
      <c r="J5" s="7">
        <v>2</v>
      </c>
      <c r="K5" s="6" t="s">
        <v>26</v>
      </c>
      <c r="L5" s="6" t="s">
        <v>37</v>
      </c>
      <c r="M5" s="6" t="str">
        <f>IF(Table2[[#This Row],[Need Mark]]="Y",I5&amp;"-"&amp;J5&amp;"/"&amp;F5,"-")</f>
        <v>C4S1-2/P4-TBSI1-M2(14)</v>
      </c>
      <c r="N5" s="6" t="str">
        <f>IF(Table2[[#This Row],[Need Mark]]="Y",F5&amp;"/"&amp;I5&amp;"-"&amp;J5,"-")</f>
        <v>P4-TBSI1-M2(14)/C4S1-2</v>
      </c>
      <c r="O5" s="6" t="str">
        <f>Table2[[#This Row],[Column3]]</f>
        <v>PNF-HiC2821</v>
      </c>
      <c r="P5" s="6" t="s">
        <v>28</v>
      </c>
      <c r="Q5" s="6" t="s">
        <v>38</v>
      </c>
      <c r="R5" s="6" t="s">
        <v>39</v>
      </c>
      <c r="S5" s="6" t="s">
        <v>31</v>
      </c>
      <c r="T5" s="6" t="s">
        <v>32</v>
      </c>
    </row>
    <row r="6" spans="1:20" s="8" customFormat="1">
      <c r="A6" s="6" t="s">
        <v>20</v>
      </c>
      <c r="B6" s="6" t="s">
        <v>21</v>
      </c>
      <c r="C6" s="6" t="s">
        <v>22</v>
      </c>
      <c r="D6" s="6" t="str">
        <f t="shared" ref="D6" si="0">D5</f>
        <v>M2</v>
      </c>
      <c r="E6" s="6">
        <v>11</v>
      </c>
      <c r="F6" s="6" t="str">
        <f>A6&amp;"-"&amp;B6&amp;"-"&amp;D6&amp;"("&amp;Table2[[#This Row],[Column5]]&amp;")"</f>
        <v>P4-TBSI1-M2(11)</v>
      </c>
      <c r="G6" s="6"/>
      <c r="H6" s="6"/>
      <c r="I6" s="6" t="s">
        <v>33</v>
      </c>
      <c r="J6" s="7" t="s">
        <v>34</v>
      </c>
      <c r="K6" s="6" t="s">
        <v>35</v>
      </c>
      <c r="L6" s="6" t="s">
        <v>35</v>
      </c>
      <c r="M6" s="6" t="str">
        <f>IF(Table2[[#This Row],[Need Mark]]="Y",I6&amp;"-"&amp;J6&amp;"/"&amp;F6,"-")</f>
        <v>-</v>
      </c>
      <c r="N6" s="6" t="str">
        <f>IF(Table2[[#This Row],[Need Mark]]="Y",F6&amp;"/"&amp;I6&amp;"-"&amp;J6,"-")</f>
        <v>-</v>
      </c>
      <c r="O6" s="6" t="str">
        <f>Table2[[#This Row],[Column3]]</f>
        <v>PNF-HiC2821</v>
      </c>
      <c r="P6" s="8" t="s">
        <v>28</v>
      </c>
      <c r="Q6" s="8" t="s">
        <v>38</v>
      </c>
      <c r="R6" s="8" t="s">
        <v>39</v>
      </c>
      <c r="S6" s="8" t="s">
        <v>31</v>
      </c>
      <c r="T6" s="8" t="s">
        <v>32</v>
      </c>
    </row>
    <row r="7" spans="1:20" s="8" customFormat="1">
      <c r="A7" s="6" t="s">
        <v>20</v>
      </c>
      <c r="B7" s="6" t="s">
        <v>21</v>
      </c>
      <c r="C7" s="6" t="s">
        <v>22</v>
      </c>
      <c r="D7" s="6" t="s">
        <v>40</v>
      </c>
      <c r="E7" s="6">
        <v>14</v>
      </c>
      <c r="F7" s="6" t="str">
        <f>A7&amp;"-"&amp;B7&amp;"-"&amp;D7&amp;"("&amp;Table2[[#This Row],[Column5]]&amp;")"</f>
        <v>P4-TBSI1-M3(14)</v>
      </c>
      <c r="G7" s="6" t="s">
        <v>24</v>
      </c>
      <c r="H7" s="6"/>
      <c r="I7" s="6" t="s">
        <v>25</v>
      </c>
      <c r="J7" s="7">
        <v>3</v>
      </c>
      <c r="K7" s="6" t="s">
        <v>26</v>
      </c>
      <c r="L7" s="6" t="s">
        <v>41</v>
      </c>
      <c r="M7" s="6" t="str">
        <f>IF(Table2[[#This Row],[Need Mark]]="Y",I7&amp;"-"&amp;J7&amp;"/"&amp;F7,"-")</f>
        <v>C4S1-3/P4-TBSI1-M3(14)</v>
      </c>
      <c r="N7" s="6" t="str">
        <f>IF(Table2[[#This Row],[Need Mark]]="Y",F7&amp;"/"&amp;I7&amp;"-"&amp;J7,"-")</f>
        <v>P4-TBSI1-M3(14)/C4S1-3</v>
      </c>
      <c r="O7" s="6" t="str">
        <f>Table2[[#This Row],[Column3]]</f>
        <v>PNF-HiC2821</v>
      </c>
      <c r="P7" s="6" t="s">
        <v>28</v>
      </c>
      <c r="Q7" s="6" t="s">
        <v>42</v>
      </c>
      <c r="R7" s="6" t="s">
        <v>43</v>
      </c>
      <c r="S7" s="6" t="s">
        <v>31</v>
      </c>
      <c r="T7" s="6" t="s">
        <v>32</v>
      </c>
    </row>
    <row r="8" spans="1:20" s="8" customFormat="1">
      <c r="A8" s="6" t="s">
        <v>20</v>
      </c>
      <c r="B8" s="6" t="s">
        <v>21</v>
      </c>
      <c r="C8" s="6" t="s">
        <v>22</v>
      </c>
      <c r="D8" s="6" t="str">
        <f t="shared" ref="D8" si="1">D7</f>
        <v>M3</v>
      </c>
      <c r="E8" s="6">
        <v>11</v>
      </c>
      <c r="F8" s="6" t="str">
        <f>A8&amp;"-"&amp;B8&amp;"-"&amp;D8&amp;"("&amp;Table2[[#This Row],[Column5]]&amp;")"</f>
        <v>P4-TBSI1-M3(11)</v>
      </c>
      <c r="G8" s="6"/>
      <c r="H8" s="6"/>
      <c r="I8" s="6" t="s">
        <v>33</v>
      </c>
      <c r="J8" s="7" t="s">
        <v>34</v>
      </c>
      <c r="K8" s="6" t="s">
        <v>35</v>
      </c>
      <c r="L8" s="6" t="s">
        <v>35</v>
      </c>
      <c r="M8" s="6" t="str">
        <f>IF(Table2[[#This Row],[Need Mark]]="Y",I8&amp;"-"&amp;J8&amp;"/"&amp;F8,"-")</f>
        <v>-</v>
      </c>
      <c r="N8" s="6" t="str">
        <f>IF(Table2[[#This Row],[Need Mark]]="Y",F8&amp;"/"&amp;I8&amp;"-"&amp;J8,"-")</f>
        <v>-</v>
      </c>
      <c r="O8" s="6" t="str">
        <f>Table2[[#This Row],[Column3]]</f>
        <v>PNF-HiC2821</v>
      </c>
      <c r="P8" s="8" t="s">
        <v>28</v>
      </c>
      <c r="Q8" s="8" t="s">
        <v>42</v>
      </c>
      <c r="R8" s="8" t="s">
        <v>43</v>
      </c>
      <c r="S8" s="8" t="s">
        <v>31</v>
      </c>
      <c r="T8" s="8" t="s">
        <v>32</v>
      </c>
    </row>
    <row r="9" spans="1:20" s="8" customFormat="1">
      <c r="A9" s="6" t="s">
        <v>20</v>
      </c>
      <c r="B9" s="6" t="s">
        <v>21</v>
      </c>
      <c r="C9" s="6" t="s">
        <v>22</v>
      </c>
      <c r="D9" s="6" t="s">
        <v>44</v>
      </c>
      <c r="E9" s="6">
        <v>14</v>
      </c>
      <c r="F9" s="6" t="str">
        <f>A9&amp;"-"&amp;B9&amp;"-"&amp;D9&amp;"("&amp;Table2[[#This Row],[Column5]]&amp;")"</f>
        <v>P4-TBSI1-M4(14)</v>
      </c>
      <c r="G9" s="6" t="s">
        <v>24</v>
      </c>
      <c r="H9" s="6"/>
      <c r="I9" s="6" t="s">
        <v>25</v>
      </c>
      <c r="J9" s="7">
        <v>4</v>
      </c>
      <c r="K9" s="6" t="s">
        <v>26</v>
      </c>
      <c r="L9" s="6" t="s">
        <v>45</v>
      </c>
      <c r="M9" s="6" t="str">
        <f>IF(Table2[[#This Row],[Need Mark]]="Y",I9&amp;"-"&amp;J9&amp;"/"&amp;F9,"-")</f>
        <v>C4S1-4/P4-TBSI1-M4(14)</v>
      </c>
      <c r="N9" s="6" t="str">
        <f>IF(Table2[[#This Row],[Need Mark]]="Y",F9&amp;"/"&amp;I9&amp;"-"&amp;J9,"-")</f>
        <v>P4-TBSI1-M4(14)/C4S1-4</v>
      </c>
      <c r="O9" s="6" t="str">
        <f>Table2[[#This Row],[Column3]]</f>
        <v>PNF-HiC2821</v>
      </c>
      <c r="P9" s="6" t="s">
        <v>28</v>
      </c>
      <c r="Q9" s="6" t="s">
        <v>46</v>
      </c>
      <c r="R9" s="6" t="s">
        <v>47</v>
      </c>
      <c r="S9" s="6" t="s">
        <v>31</v>
      </c>
      <c r="T9" s="6" t="s">
        <v>32</v>
      </c>
    </row>
    <row r="10" spans="1:20" s="8" customFormat="1">
      <c r="A10" s="6" t="s">
        <v>20</v>
      </c>
      <c r="B10" s="6" t="s">
        <v>21</v>
      </c>
      <c r="C10" s="6" t="s">
        <v>22</v>
      </c>
      <c r="D10" s="6" t="str">
        <f t="shared" ref="D10" si="2">D9</f>
        <v>M4</v>
      </c>
      <c r="E10" s="6">
        <v>11</v>
      </c>
      <c r="F10" s="6" t="str">
        <f>A10&amp;"-"&amp;B10&amp;"-"&amp;D10&amp;"("&amp;Table2[[#This Row],[Column5]]&amp;")"</f>
        <v>P4-TBSI1-M4(11)</v>
      </c>
      <c r="G10" s="6"/>
      <c r="H10" s="6"/>
      <c r="I10" s="6" t="s">
        <v>33</v>
      </c>
      <c r="J10" s="7" t="s">
        <v>34</v>
      </c>
      <c r="K10" s="6" t="s">
        <v>35</v>
      </c>
      <c r="L10" s="6" t="s">
        <v>35</v>
      </c>
      <c r="M10" s="6" t="str">
        <f>IF(Table2[[#This Row],[Need Mark]]="Y",I10&amp;"-"&amp;J10&amp;"/"&amp;F10,"-")</f>
        <v>-</v>
      </c>
      <c r="N10" s="6" t="str">
        <f>IF(Table2[[#This Row],[Need Mark]]="Y",F10&amp;"/"&amp;I10&amp;"-"&amp;J10,"-")</f>
        <v>-</v>
      </c>
      <c r="O10" s="6" t="str">
        <f>Table2[[#This Row],[Column3]]</f>
        <v>PNF-HiC2821</v>
      </c>
      <c r="P10" s="8" t="s">
        <v>28</v>
      </c>
      <c r="Q10" s="8" t="s">
        <v>46</v>
      </c>
      <c r="R10" s="8" t="s">
        <v>47</v>
      </c>
      <c r="S10" s="8" t="s">
        <v>31</v>
      </c>
      <c r="T10" s="8" t="s">
        <v>32</v>
      </c>
    </row>
    <row r="11" spans="1:20" s="8" customFormat="1">
      <c r="A11" s="6" t="s">
        <v>20</v>
      </c>
      <c r="B11" s="6" t="s">
        <v>21</v>
      </c>
      <c r="C11" s="6" t="s">
        <v>22</v>
      </c>
      <c r="D11" s="6" t="s">
        <v>48</v>
      </c>
      <c r="E11" s="6">
        <v>14</v>
      </c>
      <c r="F11" s="6" t="str">
        <f>A11&amp;"-"&amp;B11&amp;"-"&amp;D11&amp;"("&amp;Table2[[#This Row],[Column5]]&amp;")"</f>
        <v>P4-TBSI1-M5(14)</v>
      </c>
      <c r="G11" s="6" t="s">
        <v>24</v>
      </c>
      <c r="H11" s="6"/>
      <c r="I11" s="6" t="s">
        <v>25</v>
      </c>
      <c r="J11" s="7">
        <v>5</v>
      </c>
      <c r="K11" s="6" t="s">
        <v>26</v>
      </c>
      <c r="L11" s="6" t="s">
        <v>49</v>
      </c>
      <c r="M11" s="6" t="str">
        <f>IF(Table2[[#This Row],[Need Mark]]="Y",I11&amp;"-"&amp;J11&amp;"/"&amp;F11,"-")</f>
        <v>C4S1-5/P4-TBSI1-M5(14)</v>
      </c>
      <c r="N11" s="6" t="str">
        <f>IF(Table2[[#This Row],[Need Mark]]="Y",F11&amp;"/"&amp;I11&amp;"-"&amp;J11,"-")</f>
        <v>P4-TBSI1-M5(14)/C4S1-5</v>
      </c>
      <c r="O11" s="6" t="str">
        <f>Table2[[#This Row],[Column3]]</f>
        <v>PNF-HiC2821</v>
      </c>
      <c r="P11" s="6" t="s">
        <v>28</v>
      </c>
      <c r="Q11" s="6" t="s">
        <v>50</v>
      </c>
      <c r="R11" s="6" t="s">
        <v>51</v>
      </c>
      <c r="S11" s="6" t="s">
        <v>31</v>
      </c>
      <c r="T11" s="6" t="s">
        <v>32</v>
      </c>
    </row>
    <row r="12" spans="1:20" s="8" customFormat="1">
      <c r="A12" s="6" t="s">
        <v>20</v>
      </c>
      <c r="B12" s="6" t="s">
        <v>21</v>
      </c>
      <c r="C12" s="6" t="s">
        <v>22</v>
      </c>
      <c r="D12" s="6" t="str">
        <f t="shared" ref="D12" si="3">D11</f>
        <v>M5</v>
      </c>
      <c r="E12" s="6">
        <v>11</v>
      </c>
      <c r="F12" s="6" t="str">
        <f>A12&amp;"-"&amp;B12&amp;"-"&amp;D12&amp;"("&amp;Table2[[#This Row],[Column5]]&amp;")"</f>
        <v>P4-TBSI1-M5(11)</v>
      </c>
      <c r="G12" s="6"/>
      <c r="H12" s="6"/>
      <c r="I12" s="6" t="s">
        <v>33</v>
      </c>
      <c r="J12" s="7" t="s">
        <v>34</v>
      </c>
      <c r="K12" s="6" t="s">
        <v>35</v>
      </c>
      <c r="L12" s="6" t="s">
        <v>35</v>
      </c>
      <c r="M12" s="6" t="str">
        <f>IF(Table2[[#This Row],[Need Mark]]="Y",I12&amp;"-"&amp;J12&amp;"/"&amp;F12,"-")</f>
        <v>-</v>
      </c>
      <c r="N12" s="6" t="str">
        <f>IF(Table2[[#This Row],[Need Mark]]="Y",F12&amp;"/"&amp;I12&amp;"-"&amp;J12,"-")</f>
        <v>-</v>
      </c>
      <c r="O12" s="6" t="str">
        <f>Table2[[#This Row],[Column3]]</f>
        <v>PNF-HiC2821</v>
      </c>
      <c r="P12" s="8" t="s">
        <v>28</v>
      </c>
      <c r="Q12" s="8" t="s">
        <v>50</v>
      </c>
      <c r="R12" s="8" t="s">
        <v>51</v>
      </c>
      <c r="S12" s="8" t="s">
        <v>31</v>
      </c>
      <c r="T12" s="8" t="s">
        <v>32</v>
      </c>
    </row>
    <row r="13" spans="1:20" s="8" customFormat="1">
      <c r="A13" s="6" t="s">
        <v>20</v>
      </c>
      <c r="B13" s="6" t="s">
        <v>21</v>
      </c>
      <c r="C13" s="6" t="s">
        <v>22</v>
      </c>
      <c r="D13" s="6" t="s">
        <v>52</v>
      </c>
      <c r="E13" s="6">
        <v>14</v>
      </c>
      <c r="F13" s="6" t="str">
        <f>A13&amp;"-"&amp;B13&amp;"-"&amp;D13&amp;"("&amp;Table2[[#This Row],[Column5]]&amp;")"</f>
        <v>P4-TBSI1-M6(14)</v>
      </c>
      <c r="G13" s="6" t="s">
        <v>24</v>
      </c>
      <c r="H13" s="6"/>
      <c r="I13" s="6" t="s">
        <v>25</v>
      </c>
      <c r="J13" s="7">
        <v>6</v>
      </c>
      <c r="K13" s="6" t="s">
        <v>26</v>
      </c>
      <c r="L13" s="6" t="s">
        <v>53</v>
      </c>
      <c r="M13" s="6" t="str">
        <f>IF(Table2[[#This Row],[Need Mark]]="Y",I13&amp;"-"&amp;J13&amp;"/"&amp;F13,"-")</f>
        <v>C4S1-6/P4-TBSI1-M6(14)</v>
      </c>
      <c r="N13" s="6" t="str">
        <f>IF(Table2[[#This Row],[Need Mark]]="Y",F13&amp;"/"&amp;I13&amp;"-"&amp;J13,"-")</f>
        <v>P4-TBSI1-M6(14)/C4S1-6</v>
      </c>
      <c r="O13" s="6" t="str">
        <f>Table2[[#This Row],[Column3]]</f>
        <v>PNF-HiC2821</v>
      </c>
      <c r="P13" s="6" t="s">
        <v>28</v>
      </c>
      <c r="Q13" s="6" t="s">
        <v>54</v>
      </c>
      <c r="R13" s="6" t="s">
        <v>55</v>
      </c>
      <c r="S13" s="6" t="s">
        <v>31</v>
      </c>
      <c r="T13" s="6" t="s">
        <v>32</v>
      </c>
    </row>
    <row r="14" spans="1:20" s="8" customFormat="1">
      <c r="A14" s="6" t="s">
        <v>20</v>
      </c>
      <c r="B14" s="6" t="s">
        <v>21</v>
      </c>
      <c r="C14" s="6" t="s">
        <v>22</v>
      </c>
      <c r="D14" s="6" t="str">
        <f t="shared" ref="D14" si="4">D13</f>
        <v>M6</v>
      </c>
      <c r="E14" s="6">
        <v>11</v>
      </c>
      <c r="F14" s="6" t="str">
        <f>A14&amp;"-"&amp;B14&amp;"-"&amp;D14&amp;"("&amp;Table2[[#This Row],[Column5]]&amp;")"</f>
        <v>P4-TBSI1-M6(11)</v>
      </c>
      <c r="G14" s="6"/>
      <c r="H14" s="6"/>
      <c r="I14" s="6" t="s">
        <v>33</v>
      </c>
      <c r="J14" s="7" t="s">
        <v>34</v>
      </c>
      <c r="K14" s="6" t="s">
        <v>35</v>
      </c>
      <c r="L14" s="6" t="s">
        <v>35</v>
      </c>
      <c r="M14" s="6" t="str">
        <f>IF(Table2[[#This Row],[Need Mark]]="Y",I14&amp;"-"&amp;J14&amp;"/"&amp;F14,"-")</f>
        <v>-</v>
      </c>
      <c r="N14" s="6" t="str">
        <f>IF(Table2[[#This Row],[Need Mark]]="Y",F14&amp;"/"&amp;I14&amp;"-"&amp;J14,"-")</f>
        <v>-</v>
      </c>
      <c r="O14" s="6" t="str">
        <f>Table2[[#This Row],[Column3]]</f>
        <v>PNF-HiC2821</v>
      </c>
      <c r="P14" s="8" t="s">
        <v>28</v>
      </c>
      <c r="Q14" s="8" t="s">
        <v>54</v>
      </c>
      <c r="R14" s="8" t="s">
        <v>55</v>
      </c>
      <c r="S14" s="8" t="s">
        <v>31</v>
      </c>
      <c r="T14" s="8" t="s">
        <v>32</v>
      </c>
    </row>
    <row r="15" spans="1:20" s="8" customFormat="1">
      <c r="A15" s="6" t="s">
        <v>20</v>
      </c>
      <c r="B15" s="6" t="s">
        <v>21</v>
      </c>
      <c r="C15" s="6" t="s">
        <v>22</v>
      </c>
      <c r="D15" s="6" t="s">
        <v>56</v>
      </c>
      <c r="E15" s="6">
        <v>14</v>
      </c>
      <c r="F15" s="6" t="str">
        <f>A15&amp;"-"&amp;B15&amp;"-"&amp;D15&amp;"("&amp;Table2[[#This Row],[Column5]]&amp;")"</f>
        <v>P4-TBSI1-M7(14)</v>
      </c>
      <c r="G15" s="6" t="s">
        <v>24</v>
      </c>
      <c r="H15" s="6"/>
      <c r="I15" s="6" t="s">
        <v>25</v>
      </c>
      <c r="J15" s="7">
        <v>7</v>
      </c>
      <c r="K15" s="6" t="s">
        <v>26</v>
      </c>
      <c r="L15" s="6" t="s">
        <v>57</v>
      </c>
      <c r="M15" s="6" t="str">
        <f>IF(Table2[[#This Row],[Need Mark]]="Y",I15&amp;"-"&amp;J15&amp;"/"&amp;F15,"-")</f>
        <v>C4S1-7/P4-TBSI1-M7(14)</v>
      </c>
      <c r="N15" s="6" t="str">
        <f>IF(Table2[[#This Row],[Need Mark]]="Y",F15&amp;"/"&amp;I15&amp;"-"&amp;J15,"-")</f>
        <v>P4-TBSI1-M7(14)/C4S1-7</v>
      </c>
      <c r="O15" s="6" t="str">
        <f>Table2[[#This Row],[Column3]]</f>
        <v>PNF-HiC2821</v>
      </c>
      <c r="P15" s="6" t="s">
        <v>28</v>
      </c>
      <c r="Q15" s="6" t="s">
        <v>58</v>
      </c>
      <c r="R15" s="6" t="s">
        <v>59</v>
      </c>
      <c r="S15" s="6" t="s">
        <v>31</v>
      </c>
      <c r="T15" s="6" t="s">
        <v>32</v>
      </c>
    </row>
    <row r="16" spans="1:20" s="8" customFormat="1">
      <c r="A16" s="6" t="s">
        <v>20</v>
      </c>
      <c r="B16" s="6" t="s">
        <v>21</v>
      </c>
      <c r="C16" s="6" t="s">
        <v>22</v>
      </c>
      <c r="D16" s="6" t="str">
        <f t="shared" ref="D16" si="5">D15</f>
        <v>M7</v>
      </c>
      <c r="E16" s="6">
        <v>11</v>
      </c>
      <c r="F16" s="6" t="str">
        <f>A16&amp;"-"&amp;B16&amp;"-"&amp;D16&amp;"("&amp;Table2[[#This Row],[Column5]]&amp;")"</f>
        <v>P4-TBSI1-M7(11)</v>
      </c>
      <c r="G16" s="6"/>
      <c r="H16" s="6"/>
      <c r="I16" s="6" t="s">
        <v>33</v>
      </c>
      <c r="J16" s="7" t="s">
        <v>34</v>
      </c>
      <c r="K16" s="6" t="s">
        <v>35</v>
      </c>
      <c r="L16" s="6" t="s">
        <v>35</v>
      </c>
      <c r="M16" s="6" t="str">
        <f>IF(Table2[[#This Row],[Need Mark]]="Y",I16&amp;"-"&amp;J16&amp;"/"&amp;F16,"-")</f>
        <v>-</v>
      </c>
      <c r="N16" s="6" t="str">
        <f>IF(Table2[[#This Row],[Need Mark]]="Y",F16&amp;"/"&amp;I16&amp;"-"&amp;J16,"-")</f>
        <v>-</v>
      </c>
      <c r="O16" s="6" t="str">
        <f>Table2[[#This Row],[Column3]]</f>
        <v>PNF-HiC2821</v>
      </c>
      <c r="P16" s="8" t="s">
        <v>28</v>
      </c>
      <c r="Q16" s="8" t="s">
        <v>58</v>
      </c>
      <c r="R16" s="8" t="s">
        <v>59</v>
      </c>
      <c r="S16" s="8" t="s">
        <v>31</v>
      </c>
      <c r="T16" s="8" t="s">
        <v>32</v>
      </c>
    </row>
    <row r="17" spans="1:20" s="8" customFormat="1">
      <c r="A17" s="6" t="s">
        <v>20</v>
      </c>
      <c r="B17" s="6" t="s">
        <v>21</v>
      </c>
      <c r="C17" s="6" t="s">
        <v>22</v>
      </c>
      <c r="D17" s="6" t="s">
        <v>60</v>
      </c>
      <c r="E17" s="6">
        <v>14</v>
      </c>
      <c r="F17" s="6" t="str">
        <f>A17&amp;"-"&amp;B17&amp;"-"&amp;D17&amp;"("&amp;Table2[[#This Row],[Column5]]&amp;")"</f>
        <v>P4-TBSI1-M8(14)</v>
      </c>
      <c r="G17" s="6" t="s">
        <v>24</v>
      </c>
      <c r="H17" s="6"/>
      <c r="I17" s="6" t="s">
        <v>25</v>
      </c>
      <c r="J17" s="7">
        <v>8</v>
      </c>
      <c r="K17" s="6" t="s">
        <v>26</v>
      </c>
      <c r="L17" s="6" t="s">
        <v>61</v>
      </c>
      <c r="M17" s="6" t="str">
        <f>IF(Table2[[#This Row],[Need Mark]]="Y",I17&amp;"-"&amp;J17&amp;"/"&amp;F17,"-")</f>
        <v>C4S1-8/P4-TBSI1-M8(14)</v>
      </c>
      <c r="N17" s="6" t="str">
        <f>IF(Table2[[#This Row],[Need Mark]]="Y",F17&amp;"/"&amp;I17&amp;"-"&amp;J17,"-")</f>
        <v>P4-TBSI1-M8(14)/C4S1-8</v>
      </c>
      <c r="O17" s="6" t="str">
        <f>Table2[[#This Row],[Column3]]</f>
        <v>PNF-HiC2821</v>
      </c>
      <c r="P17" s="6" t="s">
        <v>28</v>
      </c>
      <c r="Q17" s="6" t="s">
        <v>62</v>
      </c>
      <c r="R17" s="6" t="s">
        <v>63</v>
      </c>
      <c r="S17" s="6" t="s">
        <v>31</v>
      </c>
      <c r="T17" s="6" t="s">
        <v>32</v>
      </c>
    </row>
    <row r="18" spans="1:20" s="8" customFormat="1">
      <c r="A18" s="6" t="s">
        <v>20</v>
      </c>
      <c r="B18" s="6" t="s">
        <v>21</v>
      </c>
      <c r="C18" s="6" t="s">
        <v>22</v>
      </c>
      <c r="D18" s="6" t="str">
        <f t="shared" ref="D18" si="6">D17</f>
        <v>M8</v>
      </c>
      <c r="E18" s="6">
        <v>11</v>
      </c>
      <c r="F18" s="6" t="str">
        <f>A18&amp;"-"&amp;B18&amp;"-"&amp;D18&amp;"("&amp;Table2[[#This Row],[Column5]]&amp;")"</f>
        <v>P4-TBSI1-M8(11)</v>
      </c>
      <c r="G18" s="6"/>
      <c r="H18" s="6"/>
      <c r="I18" s="6" t="s">
        <v>33</v>
      </c>
      <c r="J18" s="7" t="s">
        <v>34</v>
      </c>
      <c r="K18" s="6" t="s">
        <v>35</v>
      </c>
      <c r="L18" s="6" t="s">
        <v>35</v>
      </c>
      <c r="M18" s="6" t="str">
        <f>IF(Table2[[#This Row],[Need Mark]]="Y",I18&amp;"-"&amp;J18&amp;"/"&amp;F18,"-")</f>
        <v>-</v>
      </c>
      <c r="N18" s="6" t="str">
        <f>IF(Table2[[#This Row],[Need Mark]]="Y",F18&amp;"/"&amp;I18&amp;"-"&amp;J18,"-")</f>
        <v>-</v>
      </c>
      <c r="O18" s="6" t="str">
        <f>Table2[[#This Row],[Column3]]</f>
        <v>PNF-HiC2821</v>
      </c>
      <c r="P18" s="8" t="s">
        <v>28</v>
      </c>
      <c r="Q18" s="8" t="s">
        <v>62</v>
      </c>
      <c r="R18" s="8" t="s">
        <v>63</v>
      </c>
      <c r="S18" s="8" t="s">
        <v>31</v>
      </c>
      <c r="T18" s="8" t="s">
        <v>32</v>
      </c>
    </row>
    <row r="19" spans="1:20" s="8" customFormat="1">
      <c r="A19" s="6" t="s">
        <v>20</v>
      </c>
      <c r="B19" s="6" t="s">
        <v>21</v>
      </c>
      <c r="C19" s="6" t="s">
        <v>22</v>
      </c>
      <c r="D19" s="6" t="s">
        <v>64</v>
      </c>
      <c r="E19" s="6">
        <v>14</v>
      </c>
      <c r="F19" s="6" t="str">
        <f>A19&amp;"-"&amp;B19&amp;"-"&amp;D19&amp;"("&amp;Table2[[#This Row],[Column5]]&amp;")"</f>
        <v>P4-TBSI1-M9(14)</v>
      </c>
      <c r="G19" s="6" t="s">
        <v>24</v>
      </c>
      <c r="H19" s="6"/>
      <c r="I19" s="6" t="s">
        <v>25</v>
      </c>
      <c r="J19" s="7">
        <v>9</v>
      </c>
      <c r="K19" s="6" t="s">
        <v>26</v>
      </c>
      <c r="L19" s="6" t="s">
        <v>65</v>
      </c>
      <c r="M19" s="6" t="str">
        <f>IF(Table2[[#This Row],[Need Mark]]="Y",I19&amp;"-"&amp;J19&amp;"/"&amp;F19,"-")</f>
        <v>C4S1-9/P4-TBSI1-M9(14)</v>
      </c>
      <c r="N19" s="6" t="str">
        <f>IF(Table2[[#This Row],[Need Mark]]="Y",F19&amp;"/"&amp;I19&amp;"-"&amp;J19,"-")</f>
        <v>P4-TBSI1-M9(14)/C4S1-9</v>
      </c>
      <c r="O19" s="6" t="str">
        <f>Table2[[#This Row],[Column3]]</f>
        <v>PNF-HiC2821</v>
      </c>
      <c r="P19" s="6" t="s">
        <v>28</v>
      </c>
      <c r="Q19" s="6" t="s">
        <v>66</v>
      </c>
      <c r="R19" s="6" t="s">
        <v>67</v>
      </c>
      <c r="S19" s="6" t="s">
        <v>31</v>
      </c>
      <c r="T19" s="6" t="s">
        <v>32</v>
      </c>
    </row>
    <row r="20" spans="1:20" s="8" customFormat="1">
      <c r="A20" s="6" t="s">
        <v>20</v>
      </c>
      <c r="B20" s="6" t="s">
        <v>21</v>
      </c>
      <c r="C20" s="6" t="s">
        <v>22</v>
      </c>
      <c r="D20" s="6" t="str">
        <f t="shared" ref="D20" si="7">D19</f>
        <v>M9</v>
      </c>
      <c r="E20" s="6">
        <v>11</v>
      </c>
      <c r="F20" s="6" t="str">
        <f>A20&amp;"-"&amp;B20&amp;"-"&amp;D20&amp;"("&amp;Table2[[#This Row],[Column5]]&amp;")"</f>
        <v>P4-TBSI1-M9(11)</v>
      </c>
      <c r="G20" s="6"/>
      <c r="H20" s="6"/>
      <c r="I20" s="6" t="s">
        <v>33</v>
      </c>
      <c r="J20" s="7" t="s">
        <v>34</v>
      </c>
      <c r="K20" s="6" t="s">
        <v>35</v>
      </c>
      <c r="L20" s="6" t="s">
        <v>35</v>
      </c>
      <c r="M20" s="6" t="str">
        <f>IF(Table2[[#This Row],[Need Mark]]="Y",I20&amp;"-"&amp;J20&amp;"/"&amp;F20,"-")</f>
        <v>-</v>
      </c>
      <c r="N20" s="6" t="str">
        <f>IF(Table2[[#This Row],[Need Mark]]="Y",F20&amp;"/"&amp;I20&amp;"-"&amp;J20,"-")</f>
        <v>-</v>
      </c>
      <c r="O20" s="6" t="str">
        <f>Table2[[#This Row],[Column3]]</f>
        <v>PNF-HiC2821</v>
      </c>
      <c r="P20" s="8" t="s">
        <v>28</v>
      </c>
      <c r="Q20" s="8" t="s">
        <v>66</v>
      </c>
      <c r="R20" s="8" t="s">
        <v>67</v>
      </c>
      <c r="S20" s="8" t="s">
        <v>31</v>
      </c>
      <c r="T20" s="8" t="s">
        <v>32</v>
      </c>
    </row>
    <row r="21" spans="1:20" s="8" customFormat="1">
      <c r="A21" s="6" t="s">
        <v>20</v>
      </c>
      <c r="B21" s="6" t="s">
        <v>21</v>
      </c>
      <c r="C21" s="6" t="s">
        <v>22</v>
      </c>
      <c r="D21" s="6" t="s">
        <v>68</v>
      </c>
      <c r="E21" s="6">
        <v>14</v>
      </c>
      <c r="F21" s="6" t="str">
        <f>A21&amp;"-"&amp;B21&amp;"-"&amp;D21&amp;"("&amp;Table2[[#This Row],[Column5]]&amp;")"</f>
        <v>P4-TBSI1-M10(14)</v>
      </c>
      <c r="G21" s="6" t="s">
        <v>24</v>
      </c>
      <c r="H21" s="6"/>
      <c r="I21" s="6" t="s">
        <v>25</v>
      </c>
      <c r="J21" s="7">
        <v>10</v>
      </c>
      <c r="K21" s="6" t="s">
        <v>26</v>
      </c>
      <c r="L21" s="6" t="s">
        <v>69</v>
      </c>
      <c r="M21" s="6" t="str">
        <f>IF(Table2[[#This Row],[Need Mark]]="Y",I21&amp;"-"&amp;J21&amp;"/"&amp;F21,"-")</f>
        <v>C4S1-10/P4-TBSI1-M10(14)</v>
      </c>
      <c r="N21" s="6" t="str">
        <f>IF(Table2[[#This Row],[Need Mark]]="Y",F21&amp;"/"&amp;I21&amp;"-"&amp;J21,"-")</f>
        <v>P4-TBSI1-M10(14)/C4S1-10</v>
      </c>
      <c r="O21" s="6" t="str">
        <f>Table2[[#This Row],[Column3]]</f>
        <v>PNF-HiC2821</v>
      </c>
      <c r="P21" s="6" t="s">
        <v>28</v>
      </c>
      <c r="Q21" s="6" t="s">
        <v>70</v>
      </c>
      <c r="R21" s="6" t="s">
        <v>71</v>
      </c>
      <c r="S21" s="6" t="s">
        <v>31</v>
      </c>
      <c r="T21" s="6" t="s">
        <v>32</v>
      </c>
    </row>
    <row r="22" spans="1:20" s="8" customFormat="1">
      <c r="A22" s="6" t="s">
        <v>20</v>
      </c>
      <c r="B22" s="6" t="s">
        <v>21</v>
      </c>
      <c r="C22" s="6" t="s">
        <v>22</v>
      </c>
      <c r="D22" s="6" t="str">
        <f t="shared" ref="D22" si="8">D21</f>
        <v>M10</v>
      </c>
      <c r="E22" s="6">
        <v>11</v>
      </c>
      <c r="F22" s="6" t="str">
        <f>A22&amp;"-"&amp;B22&amp;"-"&amp;D22&amp;"("&amp;Table2[[#This Row],[Column5]]&amp;")"</f>
        <v>P4-TBSI1-M10(11)</v>
      </c>
      <c r="G22" s="6"/>
      <c r="H22" s="6"/>
      <c r="I22" s="6" t="s">
        <v>33</v>
      </c>
      <c r="J22" s="7" t="s">
        <v>34</v>
      </c>
      <c r="K22" s="6" t="s">
        <v>35</v>
      </c>
      <c r="L22" s="6" t="s">
        <v>35</v>
      </c>
      <c r="M22" s="6" t="str">
        <f>IF(Table2[[#This Row],[Need Mark]]="Y",I22&amp;"-"&amp;J22&amp;"/"&amp;F22,"-")</f>
        <v>-</v>
      </c>
      <c r="N22" s="6" t="str">
        <f>IF(Table2[[#This Row],[Need Mark]]="Y",F22&amp;"/"&amp;I22&amp;"-"&amp;J22,"-")</f>
        <v>-</v>
      </c>
      <c r="O22" s="6" t="str">
        <f>Table2[[#This Row],[Column3]]</f>
        <v>PNF-HiC2821</v>
      </c>
      <c r="P22" s="8" t="s">
        <v>28</v>
      </c>
      <c r="Q22" s="8" t="s">
        <v>70</v>
      </c>
      <c r="R22" s="8" t="s">
        <v>71</v>
      </c>
      <c r="S22" s="8" t="s">
        <v>31</v>
      </c>
      <c r="T22" s="8" t="s">
        <v>32</v>
      </c>
    </row>
    <row r="23" spans="1:20" s="8" customFormat="1">
      <c r="A23" s="6" t="s">
        <v>20</v>
      </c>
      <c r="B23" s="6" t="s">
        <v>21</v>
      </c>
      <c r="C23" s="6" t="s">
        <v>22</v>
      </c>
      <c r="D23" s="6" t="s">
        <v>72</v>
      </c>
      <c r="E23" s="6">
        <v>14</v>
      </c>
      <c r="F23" s="6" t="str">
        <f>A23&amp;"-"&amp;B23&amp;"-"&amp;D23&amp;"("&amp;Table2[[#This Row],[Column5]]&amp;")"</f>
        <v>P4-TBSI1-M11(14)</v>
      </c>
      <c r="G23" s="6" t="s">
        <v>24</v>
      </c>
      <c r="H23" s="6"/>
      <c r="I23" s="6" t="s">
        <v>25</v>
      </c>
      <c r="J23" s="7">
        <v>11</v>
      </c>
      <c r="K23" s="6" t="s">
        <v>26</v>
      </c>
      <c r="L23" s="6" t="s">
        <v>73</v>
      </c>
      <c r="M23" s="6" t="str">
        <f>IF(Table2[[#This Row],[Need Mark]]="Y",I23&amp;"-"&amp;J23&amp;"/"&amp;F23,"-")</f>
        <v>C4S1-11/P4-TBSI1-M11(14)</v>
      </c>
      <c r="N23" s="6" t="str">
        <f>IF(Table2[[#This Row],[Need Mark]]="Y",F23&amp;"/"&amp;I23&amp;"-"&amp;J23,"-")</f>
        <v>P4-TBSI1-M11(14)/C4S1-11</v>
      </c>
      <c r="O23" s="6" t="str">
        <f>Table2[[#This Row],[Column3]]</f>
        <v>PNF-HiC2821</v>
      </c>
      <c r="P23" s="6" t="s">
        <v>28</v>
      </c>
      <c r="Q23" s="6" t="s">
        <v>74</v>
      </c>
      <c r="R23" s="6" t="s">
        <v>75</v>
      </c>
      <c r="S23" s="6" t="s">
        <v>31</v>
      </c>
      <c r="T23" s="6" t="s">
        <v>32</v>
      </c>
    </row>
    <row r="24" spans="1:20" s="8" customFormat="1">
      <c r="A24" s="6" t="s">
        <v>20</v>
      </c>
      <c r="B24" s="6" t="s">
        <v>21</v>
      </c>
      <c r="C24" s="6" t="s">
        <v>22</v>
      </c>
      <c r="D24" s="6" t="str">
        <f t="shared" ref="D24" si="9">D23</f>
        <v>M11</v>
      </c>
      <c r="E24" s="6">
        <v>11</v>
      </c>
      <c r="F24" s="6" t="str">
        <f>A24&amp;"-"&amp;B24&amp;"-"&amp;D24&amp;"("&amp;Table2[[#This Row],[Column5]]&amp;")"</f>
        <v>P4-TBSI1-M11(11)</v>
      </c>
      <c r="G24" s="6"/>
      <c r="H24" s="6"/>
      <c r="I24" s="6" t="s">
        <v>33</v>
      </c>
      <c r="J24" s="7" t="s">
        <v>34</v>
      </c>
      <c r="K24" s="6" t="s">
        <v>35</v>
      </c>
      <c r="L24" s="6" t="s">
        <v>35</v>
      </c>
      <c r="M24" s="6" t="str">
        <f>IF(Table2[[#This Row],[Need Mark]]="Y",I24&amp;"-"&amp;J24&amp;"/"&amp;F24,"-")</f>
        <v>-</v>
      </c>
      <c r="N24" s="6" t="str">
        <f>IF(Table2[[#This Row],[Need Mark]]="Y",F24&amp;"/"&amp;I24&amp;"-"&amp;J24,"-")</f>
        <v>-</v>
      </c>
      <c r="O24" s="6" t="str">
        <f>Table2[[#This Row],[Column3]]</f>
        <v>PNF-HiC2821</v>
      </c>
      <c r="P24" s="8" t="s">
        <v>28</v>
      </c>
      <c r="Q24" s="8" t="s">
        <v>74</v>
      </c>
      <c r="R24" s="8" t="s">
        <v>75</v>
      </c>
      <c r="S24" s="8" t="s">
        <v>31</v>
      </c>
      <c r="T24" s="8" t="s">
        <v>32</v>
      </c>
    </row>
    <row r="25" spans="1:20" s="8" customFormat="1">
      <c r="A25" s="6" t="s">
        <v>20</v>
      </c>
      <c r="B25" s="6" t="s">
        <v>21</v>
      </c>
      <c r="C25" s="6" t="s">
        <v>22</v>
      </c>
      <c r="D25" s="6" t="s">
        <v>76</v>
      </c>
      <c r="E25" s="6">
        <v>14</v>
      </c>
      <c r="F25" s="6" t="str">
        <f>A25&amp;"-"&amp;B25&amp;"-"&amp;D25&amp;"("&amp;Table2[[#This Row],[Column5]]&amp;")"</f>
        <v>P4-TBSI1-M12(14)</v>
      </c>
      <c r="G25" s="6" t="s">
        <v>24</v>
      </c>
      <c r="H25" s="6"/>
      <c r="I25" s="6" t="s">
        <v>25</v>
      </c>
      <c r="J25" s="7">
        <v>12</v>
      </c>
      <c r="K25" s="6" t="s">
        <v>26</v>
      </c>
      <c r="L25" s="6" t="s">
        <v>77</v>
      </c>
      <c r="M25" s="6" t="str">
        <f>IF(Table2[[#This Row],[Need Mark]]="Y",I25&amp;"-"&amp;J25&amp;"/"&amp;F25,"-")</f>
        <v>C4S1-12/P4-TBSI1-M12(14)</v>
      </c>
      <c r="N25" s="6" t="str">
        <f>IF(Table2[[#This Row],[Need Mark]]="Y",F25&amp;"/"&amp;I25&amp;"-"&amp;J25,"-")</f>
        <v>P4-TBSI1-M12(14)/C4S1-12</v>
      </c>
      <c r="O25" s="6" t="str">
        <f>Table2[[#This Row],[Column3]]</f>
        <v>PNF-HiC2821</v>
      </c>
      <c r="P25" s="6" t="s">
        <v>28</v>
      </c>
      <c r="Q25" s="6" t="s">
        <v>78</v>
      </c>
      <c r="R25" s="6" t="s">
        <v>79</v>
      </c>
      <c r="S25" s="6" t="s">
        <v>31</v>
      </c>
      <c r="T25" s="6" t="s">
        <v>32</v>
      </c>
    </row>
    <row r="26" spans="1:20" s="8" customFormat="1">
      <c r="A26" s="6" t="s">
        <v>20</v>
      </c>
      <c r="B26" s="6" t="s">
        <v>21</v>
      </c>
      <c r="C26" s="6" t="s">
        <v>22</v>
      </c>
      <c r="D26" s="6" t="str">
        <f t="shared" ref="D26" si="10">D25</f>
        <v>M12</v>
      </c>
      <c r="E26" s="6">
        <v>11</v>
      </c>
      <c r="F26" s="6" t="str">
        <f>A26&amp;"-"&amp;B26&amp;"-"&amp;D26&amp;"("&amp;Table2[[#This Row],[Column5]]&amp;")"</f>
        <v>P4-TBSI1-M12(11)</v>
      </c>
      <c r="G26" s="6"/>
      <c r="H26" s="6"/>
      <c r="I26" s="6" t="s">
        <v>33</v>
      </c>
      <c r="J26" s="7" t="s">
        <v>34</v>
      </c>
      <c r="K26" s="6" t="s">
        <v>35</v>
      </c>
      <c r="L26" s="6" t="s">
        <v>35</v>
      </c>
      <c r="M26" s="6" t="str">
        <f>IF(Table2[[#This Row],[Need Mark]]="Y",I26&amp;"-"&amp;J26&amp;"/"&amp;F26,"-")</f>
        <v>-</v>
      </c>
      <c r="N26" s="6" t="str">
        <f>IF(Table2[[#This Row],[Need Mark]]="Y",F26&amp;"/"&amp;I26&amp;"-"&amp;J26,"-")</f>
        <v>-</v>
      </c>
      <c r="O26" s="6" t="str">
        <f>Table2[[#This Row],[Column3]]</f>
        <v>PNF-HiC2821</v>
      </c>
      <c r="P26" s="8" t="s">
        <v>28</v>
      </c>
      <c r="Q26" s="8" t="s">
        <v>78</v>
      </c>
      <c r="R26" s="8" t="s">
        <v>79</v>
      </c>
      <c r="S26" s="8" t="s">
        <v>31</v>
      </c>
      <c r="T26" s="8" t="s">
        <v>32</v>
      </c>
    </row>
    <row r="27" spans="1:20" s="8" customFormat="1">
      <c r="A27" s="6" t="s">
        <v>20</v>
      </c>
      <c r="B27" s="6" t="s">
        <v>21</v>
      </c>
      <c r="C27" s="6" t="s">
        <v>22</v>
      </c>
      <c r="D27" s="6" t="s">
        <v>80</v>
      </c>
      <c r="E27" s="6">
        <v>14</v>
      </c>
      <c r="F27" s="6" t="str">
        <f>A27&amp;"-"&amp;B27&amp;"-"&amp;D27&amp;"("&amp;Table2[[#This Row],[Column5]]&amp;")"</f>
        <v>P4-TBSI1-M13(14)</v>
      </c>
      <c r="G27" s="6" t="s">
        <v>24</v>
      </c>
      <c r="H27" s="6"/>
      <c r="I27" s="6" t="s">
        <v>25</v>
      </c>
      <c r="J27" s="7">
        <v>13</v>
      </c>
      <c r="K27" s="6" t="s">
        <v>26</v>
      </c>
      <c r="L27" s="6" t="s">
        <v>81</v>
      </c>
      <c r="M27" s="6" t="str">
        <f>IF(Table2[[#This Row],[Need Mark]]="Y",I27&amp;"-"&amp;J27&amp;"/"&amp;F27,"-")</f>
        <v>C4S1-13/P4-TBSI1-M13(14)</v>
      </c>
      <c r="N27" s="6" t="str">
        <f>IF(Table2[[#This Row],[Need Mark]]="Y",F27&amp;"/"&amp;I27&amp;"-"&amp;J27,"-")</f>
        <v>P4-TBSI1-M13(14)/C4S1-13</v>
      </c>
      <c r="O27" s="6" t="str">
        <f>Table2[[#This Row],[Column3]]</f>
        <v>PNF-HiC2821</v>
      </c>
      <c r="P27" s="6" t="s">
        <v>28</v>
      </c>
      <c r="Q27" s="6" t="s">
        <v>82</v>
      </c>
      <c r="R27" s="6" t="s">
        <v>83</v>
      </c>
      <c r="S27" s="6" t="s">
        <v>31</v>
      </c>
      <c r="T27" s="6" t="s">
        <v>32</v>
      </c>
    </row>
    <row r="28" spans="1:20" s="8" customFormat="1">
      <c r="A28" s="6" t="s">
        <v>20</v>
      </c>
      <c r="B28" s="6" t="s">
        <v>21</v>
      </c>
      <c r="C28" s="6" t="s">
        <v>22</v>
      </c>
      <c r="D28" s="6" t="str">
        <f t="shared" ref="D28" si="11">D27</f>
        <v>M13</v>
      </c>
      <c r="E28" s="6">
        <v>11</v>
      </c>
      <c r="F28" s="6" t="str">
        <f>A28&amp;"-"&amp;B28&amp;"-"&amp;D28&amp;"("&amp;Table2[[#This Row],[Column5]]&amp;")"</f>
        <v>P4-TBSI1-M13(11)</v>
      </c>
      <c r="G28" s="6"/>
      <c r="H28" s="6"/>
      <c r="I28" s="6" t="s">
        <v>33</v>
      </c>
      <c r="J28" s="7" t="s">
        <v>34</v>
      </c>
      <c r="K28" s="6" t="s">
        <v>35</v>
      </c>
      <c r="L28" s="6" t="s">
        <v>35</v>
      </c>
      <c r="M28" s="6" t="str">
        <f>IF(Table2[[#This Row],[Need Mark]]="Y",I28&amp;"-"&amp;J28&amp;"/"&amp;F28,"-")</f>
        <v>-</v>
      </c>
      <c r="N28" s="6" t="str">
        <f>IF(Table2[[#This Row],[Need Mark]]="Y",F28&amp;"/"&amp;I28&amp;"-"&amp;J28,"-")</f>
        <v>-</v>
      </c>
      <c r="O28" s="6" t="str">
        <f>Table2[[#This Row],[Column3]]</f>
        <v>PNF-HiC2821</v>
      </c>
      <c r="P28" s="8" t="s">
        <v>28</v>
      </c>
      <c r="Q28" s="8" t="s">
        <v>82</v>
      </c>
      <c r="R28" s="8" t="s">
        <v>83</v>
      </c>
      <c r="S28" s="8" t="s">
        <v>31</v>
      </c>
      <c r="T28" s="8" t="s">
        <v>32</v>
      </c>
    </row>
    <row r="29" spans="1:20" s="8" customFormat="1">
      <c r="A29" s="6" t="s">
        <v>20</v>
      </c>
      <c r="B29" s="6" t="s">
        <v>21</v>
      </c>
      <c r="C29" s="6" t="s">
        <v>22</v>
      </c>
      <c r="D29" s="6" t="s">
        <v>84</v>
      </c>
      <c r="E29" s="6">
        <v>14</v>
      </c>
      <c r="F29" s="6" t="str">
        <f>A29&amp;"-"&amp;B29&amp;"-"&amp;D29&amp;"("&amp;Table2[[#This Row],[Column5]]&amp;")"</f>
        <v>P4-TBSI1-M14(14)</v>
      </c>
      <c r="G29" s="6" t="s">
        <v>24</v>
      </c>
      <c r="H29" s="6"/>
      <c r="I29" s="6" t="s">
        <v>25</v>
      </c>
      <c r="J29" s="7">
        <v>14</v>
      </c>
      <c r="K29" s="6" t="s">
        <v>26</v>
      </c>
      <c r="L29" s="6" t="s">
        <v>85</v>
      </c>
      <c r="M29" s="6" t="str">
        <f>IF(Table2[[#This Row],[Need Mark]]="Y",I29&amp;"-"&amp;J29&amp;"/"&amp;F29,"-")</f>
        <v>C4S1-14/P4-TBSI1-M14(14)</v>
      </c>
      <c r="N29" s="6" t="str">
        <f>IF(Table2[[#This Row],[Need Mark]]="Y",F29&amp;"/"&amp;I29&amp;"-"&amp;J29,"-")</f>
        <v>P4-TBSI1-M14(14)/C4S1-14</v>
      </c>
      <c r="O29" s="6" t="str">
        <f>Table2[[#This Row],[Column3]]</f>
        <v>PNF-HiC2821</v>
      </c>
      <c r="P29" s="6" t="s">
        <v>28</v>
      </c>
      <c r="Q29" s="6" t="s">
        <v>86</v>
      </c>
      <c r="R29" s="6" t="s">
        <v>87</v>
      </c>
      <c r="S29" s="6" t="s">
        <v>31</v>
      </c>
      <c r="T29" s="6" t="s">
        <v>32</v>
      </c>
    </row>
    <row r="30" spans="1:20" s="8" customFormat="1">
      <c r="A30" s="6" t="s">
        <v>20</v>
      </c>
      <c r="B30" s="6" t="s">
        <v>21</v>
      </c>
      <c r="C30" s="6" t="s">
        <v>22</v>
      </c>
      <c r="D30" s="6" t="str">
        <f t="shared" ref="D30" si="12">D29</f>
        <v>M14</v>
      </c>
      <c r="E30" s="6">
        <v>11</v>
      </c>
      <c r="F30" s="6" t="str">
        <f>A30&amp;"-"&amp;B30&amp;"-"&amp;D30&amp;"("&amp;Table2[[#This Row],[Column5]]&amp;")"</f>
        <v>P4-TBSI1-M14(11)</v>
      </c>
      <c r="G30" s="6"/>
      <c r="H30" s="6"/>
      <c r="I30" s="6" t="s">
        <v>33</v>
      </c>
      <c r="J30" s="7" t="s">
        <v>34</v>
      </c>
      <c r="K30" s="6" t="s">
        <v>35</v>
      </c>
      <c r="L30" s="6" t="s">
        <v>35</v>
      </c>
      <c r="M30" s="6" t="str">
        <f>IF(Table2[[#This Row],[Need Mark]]="Y",I30&amp;"-"&amp;J30&amp;"/"&amp;F30,"-")</f>
        <v>-</v>
      </c>
      <c r="N30" s="6" t="str">
        <f>IF(Table2[[#This Row],[Need Mark]]="Y",F30&amp;"/"&amp;I30&amp;"-"&amp;J30,"-")</f>
        <v>-</v>
      </c>
      <c r="O30" s="6" t="str">
        <f>Table2[[#This Row],[Column3]]</f>
        <v>PNF-HiC2821</v>
      </c>
      <c r="P30" s="8" t="s">
        <v>28</v>
      </c>
      <c r="Q30" s="8" t="s">
        <v>86</v>
      </c>
      <c r="R30" s="8" t="s">
        <v>87</v>
      </c>
      <c r="S30" s="8" t="s">
        <v>31</v>
      </c>
      <c r="T30" s="8" t="s">
        <v>32</v>
      </c>
    </row>
    <row r="31" spans="1:20" s="8" customFormat="1">
      <c r="A31" s="6" t="s">
        <v>20</v>
      </c>
      <c r="B31" s="6" t="s">
        <v>21</v>
      </c>
      <c r="C31" s="6" t="s">
        <v>22</v>
      </c>
      <c r="D31" s="6" t="s">
        <v>88</v>
      </c>
      <c r="E31" s="6">
        <v>14</v>
      </c>
      <c r="F31" s="6" t="str">
        <f>A31&amp;"-"&amp;B31&amp;"-"&amp;D31&amp;"("&amp;Table2[[#This Row],[Column5]]&amp;")"</f>
        <v>P4-TBSI1-M15(14)</v>
      </c>
      <c r="G31" s="6" t="s">
        <v>24</v>
      </c>
      <c r="H31" s="6"/>
      <c r="I31" s="6" t="s">
        <v>25</v>
      </c>
      <c r="J31" s="7">
        <v>15</v>
      </c>
      <c r="K31" s="6" t="s">
        <v>26</v>
      </c>
      <c r="L31" s="6" t="s">
        <v>89</v>
      </c>
      <c r="M31" s="6" t="str">
        <f>IF(Table2[[#This Row],[Need Mark]]="Y",I31&amp;"-"&amp;J31&amp;"/"&amp;F31,"-")</f>
        <v>C4S1-15/P4-TBSI1-M15(14)</v>
      </c>
      <c r="N31" s="6" t="str">
        <f>IF(Table2[[#This Row],[Need Mark]]="Y",F31&amp;"/"&amp;I31&amp;"-"&amp;J31,"-")</f>
        <v>P4-TBSI1-M15(14)/C4S1-15</v>
      </c>
      <c r="O31" s="6" t="str">
        <f>Table2[[#This Row],[Column3]]</f>
        <v>PNF-HiC2821</v>
      </c>
      <c r="P31" s="6" t="s">
        <v>28</v>
      </c>
      <c r="Q31" s="6" t="s">
        <v>90</v>
      </c>
      <c r="R31" s="6" t="s">
        <v>91</v>
      </c>
      <c r="S31" s="6" t="s">
        <v>31</v>
      </c>
      <c r="T31" s="6" t="s">
        <v>32</v>
      </c>
    </row>
    <row r="32" spans="1:20" s="8" customFormat="1">
      <c r="A32" s="6" t="s">
        <v>20</v>
      </c>
      <c r="B32" s="6" t="s">
        <v>21</v>
      </c>
      <c r="C32" s="6" t="s">
        <v>22</v>
      </c>
      <c r="D32" s="6" t="str">
        <f t="shared" ref="D32" si="13">D31</f>
        <v>M15</v>
      </c>
      <c r="E32" s="6">
        <v>11</v>
      </c>
      <c r="F32" s="6" t="str">
        <f>A32&amp;"-"&amp;B32&amp;"-"&amp;D32&amp;"("&amp;Table2[[#This Row],[Column5]]&amp;")"</f>
        <v>P4-TBSI1-M15(11)</v>
      </c>
      <c r="G32" s="6"/>
      <c r="H32" s="6"/>
      <c r="I32" s="6" t="s">
        <v>33</v>
      </c>
      <c r="J32" s="7" t="s">
        <v>34</v>
      </c>
      <c r="K32" s="6" t="s">
        <v>35</v>
      </c>
      <c r="L32" s="6" t="s">
        <v>35</v>
      </c>
      <c r="M32" s="6" t="str">
        <f>IF(Table2[[#This Row],[Need Mark]]="Y",I32&amp;"-"&amp;J32&amp;"/"&amp;F32,"-")</f>
        <v>-</v>
      </c>
      <c r="N32" s="6" t="str">
        <f>IF(Table2[[#This Row],[Need Mark]]="Y",F32&amp;"/"&amp;I32&amp;"-"&amp;J32,"-")</f>
        <v>-</v>
      </c>
      <c r="O32" s="6" t="str">
        <f>Table2[[#This Row],[Column3]]</f>
        <v>PNF-HiC2821</v>
      </c>
      <c r="P32" s="8" t="s">
        <v>28</v>
      </c>
      <c r="Q32" s="8" t="s">
        <v>90</v>
      </c>
      <c r="R32" s="8" t="s">
        <v>91</v>
      </c>
      <c r="S32" s="8" t="s">
        <v>31</v>
      </c>
      <c r="T32" s="8" t="s">
        <v>32</v>
      </c>
    </row>
    <row r="33" spans="1:20" s="8" customFormat="1">
      <c r="A33" s="6" t="s">
        <v>20</v>
      </c>
      <c r="B33" s="6" t="s">
        <v>21</v>
      </c>
      <c r="C33" s="6" t="s">
        <v>22</v>
      </c>
      <c r="D33" s="6" t="s">
        <v>92</v>
      </c>
      <c r="E33" s="6">
        <v>14</v>
      </c>
      <c r="F33" s="6" t="str">
        <f>A33&amp;"-"&amp;B33&amp;"-"&amp;D33&amp;"("&amp;Table2[[#This Row],[Column5]]&amp;")"</f>
        <v>P4-TBSI1-M16(14)</v>
      </c>
      <c r="G33" s="6" t="s">
        <v>24</v>
      </c>
      <c r="H33" s="6"/>
      <c r="I33" s="6" t="s">
        <v>25</v>
      </c>
      <c r="J33" s="7">
        <v>16</v>
      </c>
      <c r="K33" s="6" t="s">
        <v>26</v>
      </c>
      <c r="L33" s="6" t="s">
        <v>93</v>
      </c>
      <c r="M33" s="6" t="str">
        <f>IF(Table2[[#This Row],[Need Mark]]="Y",I33&amp;"-"&amp;J33&amp;"/"&amp;F33,"-")</f>
        <v>C4S1-16/P4-TBSI1-M16(14)</v>
      </c>
      <c r="N33" s="6" t="str">
        <f>IF(Table2[[#This Row],[Need Mark]]="Y",F33&amp;"/"&amp;I33&amp;"-"&amp;J33,"-")</f>
        <v>P4-TBSI1-M16(14)/C4S1-16</v>
      </c>
      <c r="O33" s="6" t="str">
        <f>Table2[[#This Row],[Column3]]</f>
        <v>PNF-HiC2821</v>
      </c>
      <c r="P33" s="6" t="s">
        <v>94</v>
      </c>
      <c r="Q33" s="6" t="s">
        <v>95</v>
      </c>
      <c r="R33" s="6" t="s">
        <v>96</v>
      </c>
      <c r="S33" s="6" t="s">
        <v>31</v>
      </c>
      <c r="T33" s="6" t="s">
        <v>32</v>
      </c>
    </row>
    <row r="34" spans="1:20" s="8" customFormat="1">
      <c r="A34" s="6" t="s">
        <v>20</v>
      </c>
      <c r="B34" s="6" t="s">
        <v>21</v>
      </c>
      <c r="C34" s="6" t="s">
        <v>22</v>
      </c>
      <c r="D34" s="6" t="str">
        <f t="shared" ref="D34" si="14">D33</f>
        <v>M16</v>
      </c>
      <c r="E34" s="6">
        <v>11</v>
      </c>
      <c r="F34" s="6" t="str">
        <f>A34&amp;"-"&amp;B34&amp;"-"&amp;D34&amp;"("&amp;Table2[[#This Row],[Column5]]&amp;")"</f>
        <v>P4-TBSI1-M16(11)</v>
      </c>
      <c r="G34" s="6"/>
      <c r="H34" s="6"/>
      <c r="I34" s="6" t="s">
        <v>33</v>
      </c>
      <c r="J34" s="7" t="s">
        <v>34</v>
      </c>
      <c r="K34" s="6" t="s">
        <v>35</v>
      </c>
      <c r="L34" s="6" t="s">
        <v>35</v>
      </c>
      <c r="M34" s="6" t="str">
        <f>IF(Table2[[#This Row],[Need Mark]]="Y",I34&amp;"-"&amp;J34&amp;"/"&amp;F34,"-")</f>
        <v>-</v>
      </c>
      <c r="N34" s="6" t="str">
        <f>IF(Table2[[#This Row],[Need Mark]]="Y",F34&amp;"/"&amp;I34&amp;"-"&amp;J34,"-")</f>
        <v>-</v>
      </c>
      <c r="O34" s="6" t="str">
        <f>Table2[[#This Row],[Column3]]</f>
        <v>PNF-HiC2821</v>
      </c>
      <c r="P34" s="8" t="s">
        <v>94</v>
      </c>
      <c r="Q34" s="8" t="s">
        <v>95</v>
      </c>
      <c r="R34" s="8" t="s">
        <v>96</v>
      </c>
      <c r="S34" s="8" t="s">
        <v>31</v>
      </c>
      <c r="T34" s="8" t="s">
        <v>32</v>
      </c>
    </row>
    <row r="35" spans="1:20">
      <c r="A35" s="1" t="s">
        <v>20</v>
      </c>
      <c r="B35" s="1" t="s">
        <v>97</v>
      </c>
      <c r="C35" s="1" t="s">
        <v>22</v>
      </c>
      <c r="D35" s="1" t="s">
        <v>23</v>
      </c>
      <c r="E35" s="1">
        <v>14</v>
      </c>
      <c r="F35" s="1" t="str">
        <f>A35&amp;"-"&amp;B35&amp;"-"&amp;D35&amp;"("&amp;Table2[[#This Row],[Column5]]&amp;")"</f>
        <v>P4-TBSI2-M1(14)</v>
      </c>
      <c r="G35" s="1" t="s">
        <v>24</v>
      </c>
      <c r="H35" s="1"/>
      <c r="I35" s="2" t="s">
        <v>25</v>
      </c>
      <c r="J35" s="3">
        <v>19</v>
      </c>
      <c r="K35" s="2" t="s">
        <v>26</v>
      </c>
      <c r="L35" s="1" t="s">
        <v>98</v>
      </c>
      <c r="M35" s="1" t="str">
        <f>IF(Table2[[#This Row],[Need Mark]]="Y",I35&amp;"-"&amp;J35&amp;"/"&amp;F35,"-")</f>
        <v>C4S1-19/P4-TBSI2-M1(14)</v>
      </c>
      <c r="N35" s="1" t="str">
        <f>IF(Table2[[#This Row],[Need Mark]]="Y",F35&amp;"/"&amp;I35&amp;"-"&amp;J35,"-")</f>
        <v>P4-TBSI2-M1(14)/C4S1-19</v>
      </c>
      <c r="O35" s="1" t="str">
        <f>Table2[[#This Row],[Column3]]</f>
        <v>PNF-HiC2821</v>
      </c>
      <c r="P35" s="1" t="s">
        <v>94</v>
      </c>
      <c r="Q35" s="1" t="s">
        <v>99</v>
      </c>
      <c r="R35" s="1" t="s">
        <v>100</v>
      </c>
      <c r="S35" s="1" t="s">
        <v>31</v>
      </c>
      <c r="T35" s="4" t="s">
        <v>32</v>
      </c>
    </row>
    <row r="36" spans="1:20">
      <c r="A36" s="1" t="s">
        <v>20</v>
      </c>
      <c r="B36" s="1" t="s">
        <v>97</v>
      </c>
      <c r="C36" s="1" t="s">
        <v>22</v>
      </c>
      <c r="D36" s="1" t="str">
        <f>D35</f>
        <v>M1</v>
      </c>
      <c r="E36" s="1">
        <v>11</v>
      </c>
      <c r="F36" s="1" t="str">
        <f>A36&amp;"-"&amp;B36&amp;"-"&amp;D36&amp;"("&amp;Table2[[#This Row],[Column5]]&amp;")"</f>
        <v>P4-TBSI2-M1(11)</v>
      </c>
      <c r="G36" s="1" t="s">
        <v>24</v>
      </c>
      <c r="H36" s="1"/>
      <c r="I36" s="2" t="s">
        <v>33</v>
      </c>
      <c r="J36" s="3" t="s">
        <v>101</v>
      </c>
      <c r="K36" s="2" t="s">
        <v>35</v>
      </c>
      <c r="L36" s="2" t="s">
        <v>35</v>
      </c>
      <c r="M36" s="1" t="str">
        <f>IF(Table2[[#This Row],[Need Mark]]="Y",I36&amp;"-"&amp;J36&amp;"/"&amp;F36,"-")</f>
        <v>TB-24VDC-2(2)/P4-TBSI2-M1(11)</v>
      </c>
      <c r="N36" s="1" t="str">
        <f>IF(Table2[[#This Row],[Need Mark]]="Y",F36&amp;"/"&amp;I36&amp;"-"&amp;J36,"-")</f>
        <v>P4-TBSI2-M1(11)/TB-24VDC-2(2)</v>
      </c>
      <c r="O36" s="1" t="str">
        <f>Table2[[#This Row],[Column3]]</f>
        <v>PNF-HiC2821</v>
      </c>
      <c r="P36" s="5" t="s">
        <v>94</v>
      </c>
      <c r="Q36" s="5" t="s">
        <v>99</v>
      </c>
      <c r="R36" s="5" t="s">
        <v>100</v>
      </c>
      <c r="S36" s="5" t="s">
        <v>31</v>
      </c>
      <c r="T36" s="5" t="s">
        <v>32</v>
      </c>
    </row>
    <row r="37" spans="1:20">
      <c r="A37" s="1" t="s">
        <v>20</v>
      </c>
      <c r="B37" s="1" t="s">
        <v>97</v>
      </c>
      <c r="C37" s="1" t="s">
        <v>22</v>
      </c>
      <c r="D37" s="1" t="s">
        <v>36</v>
      </c>
      <c r="E37" s="1">
        <v>14</v>
      </c>
      <c r="F37" s="1" t="str">
        <f>A37&amp;"-"&amp;B37&amp;"-"&amp;D37&amp;"("&amp;Table2[[#This Row],[Column5]]&amp;")"</f>
        <v>P4-TBSI2-M2(14)</v>
      </c>
      <c r="G37" s="1" t="s">
        <v>24</v>
      </c>
      <c r="H37" s="1"/>
      <c r="I37" s="2" t="s">
        <v>25</v>
      </c>
      <c r="J37" s="3">
        <v>20</v>
      </c>
      <c r="K37" s="2" t="s">
        <v>26</v>
      </c>
      <c r="L37" s="1" t="s">
        <v>102</v>
      </c>
      <c r="M37" s="1" t="str">
        <f>IF(Table2[[#This Row],[Need Mark]]="Y",I37&amp;"-"&amp;J37&amp;"/"&amp;F37,"-")</f>
        <v>C4S1-20/P4-TBSI2-M2(14)</v>
      </c>
      <c r="N37" s="1" t="str">
        <f>IF(Table2[[#This Row],[Need Mark]]="Y",F37&amp;"/"&amp;I37&amp;"-"&amp;J37,"-")</f>
        <v>P4-TBSI2-M2(14)/C4S1-20</v>
      </c>
      <c r="O37" s="1" t="str">
        <f>Table2[[#This Row],[Column3]]</f>
        <v>PNF-HiC2821</v>
      </c>
      <c r="P37" s="1" t="s">
        <v>94</v>
      </c>
      <c r="Q37" s="1" t="s">
        <v>103</v>
      </c>
      <c r="R37" s="1" t="s">
        <v>104</v>
      </c>
      <c r="S37" s="1" t="s">
        <v>31</v>
      </c>
      <c r="T37" s="4" t="s">
        <v>32</v>
      </c>
    </row>
    <row r="38" spans="1:20">
      <c r="A38" s="1" t="s">
        <v>20</v>
      </c>
      <c r="B38" s="1" t="s">
        <v>97</v>
      </c>
      <c r="C38" s="1" t="s">
        <v>22</v>
      </c>
      <c r="D38" s="1" t="str">
        <f t="shared" ref="D38" si="15">D37</f>
        <v>M2</v>
      </c>
      <c r="E38" s="1">
        <v>11</v>
      </c>
      <c r="F38" s="1" t="str">
        <f>A38&amp;"-"&amp;B38&amp;"-"&amp;D38&amp;"("&amp;Table2[[#This Row],[Column5]]&amp;")"</f>
        <v>P4-TBSI2-M2(11)</v>
      </c>
      <c r="G38" s="1"/>
      <c r="H38" s="1"/>
      <c r="I38" s="2" t="s">
        <v>33</v>
      </c>
      <c r="J38" s="3" t="s">
        <v>101</v>
      </c>
      <c r="K38" s="2" t="s">
        <v>35</v>
      </c>
      <c r="L38" s="2" t="s">
        <v>35</v>
      </c>
      <c r="M38" s="1" t="str">
        <f>IF(Table2[[#This Row],[Need Mark]]="Y",I38&amp;"-"&amp;J38&amp;"/"&amp;F38,"-")</f>
        <v>-</v>
      </c>
      <c r="N38" s="1" t="str">
        <f>IF(Table2[[#This Row],[Need Mark]]="Y",F38&amp;"/"&amp;I38&amp;"-"&amp;J38,"-")</f>
        <v>-</v>
      </c>
      <c r="O38" s="1" t="str">
        <f>Table2[[#This Row],[Column3]]</f>
        <v>PNF-HiC2821</v>
      </c>
      <c r="P38" s="5" t="s">
        <v>94</v>
      </c>
      <c r="Q38" s="5" t="s">
        <v>103</v>
      </c>
      <c r="R38" s="5" t="s">
        <v>104</v>
      </c>
      <c r="S38" s="5" t="s">
        <v>31</v>
      </c>
      <c r="T38" s="5" t="s">
        <v>32</v>
      </c>
    </row>
    <row r="39" spans="1:20">
      <c r="A39" s="1" t="s">
        <v>20</v>
      </c>
      <c r="B39" s="1" t="s">
        <v>97</v>
      </c>
      <c r="C39" s="1" t="s">
        <v>22</v>
      </c>
      <c r="D39" s="1" t="s">
        <v>40</v>
      </c>
      <c r="E39" s="1">
        <v>14</v>
      </c>
      <c r="F39" s="1" t="str">
        <f>A39&amp;"-"&amp;B39&amp;"-"&amp;D39&amp;"("&amp;Table2[[#This Row],[Column5]]&amp;")"</f>
        <v>P4-TBSI2-M3(14)</v>
      </c>
      <c r="G39" s="1" t="s">
        <v>24</v>
      </c>
      <c r="H39" s="1"/>
      <c r="I39" s="2" t="s">
        <v>25</v>
      </c>
      <c r="J39" s="3">
        <v>21</v>
      </c>
      <c r="K39" s="2" t="s">
        <v>26</v>
      </c>
      <c r="L39" s="1" t="s">
        <v>105</v>
      </c>
      <c r="M39" s="1" t="str">
        <f>IF(Table2[[#This Row],[Need Mark]]="Y",I39&amp;"-"&amp;J39&amp;"/"&amp;F39,"-")</f>
        <v>C4S1-21/P4-TBSI2-M3(14)</v>
      </c>
      <c r="N39" s="1" t="str">
        <f>IF(Table2[[#This Row],[Need Mark]]="Y",F39&amp;"/"&amp;I39&amp;"-"&amp;J39,"-")</f>
        <v>P4-TBSI2-M3(14)/C4S1-21</v>
      </c>
      <c r="O39" s="1" t="str">
        <f>Table2[[#This Row],[Column3]]</f>
        <v>PNF-HiC2821</v>
      </c>
      <c r="P39" s="1" t="s">
        <v>94</v>
      </c>
      <c r="Q39" s="1" t="s">
        <v>106</v>
      </c>
      <c r="R39" s="1" t="s">
        <v>107</v>
      </c>
      <c r="S39" s="1" t="s">
        <v>31</v>
      </c>
      <c r="T39" s="4" t="s">
        <v>32</v>
      </c>
    </row>
    <row r="40" spans="1:20">
      <c r="A40" s="1" t="s">
        <v>20</v>
      </c>
      <c r="B40" s="1" t="s">
        <v>97</v>
      </c>
      <c r="C40" s="1" t="s">
        <v>22</v>
      </c>
      <c r="D40" s="1" t="str">
        <f t="shared" ref="D40" si="16">D39</f>
        <v>M3</v>
      </c>
      <c r="E40" s="1">
        <v>11</v>
      </c>
      <c r="F40" s="1" t="str">
        <f>A40&amp;"-"&amp;B40&amp;"-"&amp;D40&amp;"("&amp;Table2[[#This Row],[Column5]]&amp;")"</f>
        <v>P4-TBSI2-M3(11)</v>
      </c>
      <c r="G40" s="1"/>
      <c r="H40" s="1"/>
      <c r="I40" s="2" t="s">
        <v>33</v>
      </c>
      <c r="J40" s="3" t="s">
        <v>101</v>
      </c>
      <c r="K40" s="2" t="s">
        <v>35</v>
      </c>
      <c r="L40" s="2" t="s">
        <v>35</v>
      </c>
      <c r="M40" s="1" t="str">
        <f>IF(Table2[[#This Row],[Need Mark]]="Y",I40&amp;"-"&amp;J40&amp;"/"&amp;F40,"-")</f>
        <v>-</v>
      </c>
      <c r="N40" s="1" t="str">
        <f>IF(Table2[[#This Row],[Need Mark]]="Y",F40&amp;"/"&amp;I40&amp;"-"&amp;J40,"-")</f>
        <v>-</v>
      </c>
      <c r="O40" s="1" t="str">
        <f>Table2[[#This Row],[Column3]]</f>
        <v>PNF-HiC2821</v>
      </c>
      <c r="P40" s="5" t="s">
        <v>94</v>
      </c>
      <c r="Q40" s="5" t="s">
        <v>106</v>
      </c>
      <c r="R40" s="5" t="s">
        <v>107</v>
      </c>
      <c r="S40" s="5" t="s">
        <v>31</v>
      </c>
      <c r="T40" s="5" t="s">
        <v>32</v>
      </c>
    </row>
    <row r="41" spans="1:20">
      <c r="A41" s="1" t="s">
        <v>20</v>
      </c>
      <c r="B41" s="1" t="s">
        <v>97</v>
      </c>
      <c r="C41" s="1" t="s">
        <v>22</v>
      </c>
      <c r="D41" s="1" t="s">
        <v>44</v>
      </c>
      <c r="E41" s="1">
        <v>14</v>
      </c>
      <c r="F41" s="1" t="str">
        <f>A41&amp;"-"&amp;B41&amp;"-"&amp;D41&amp;"("&amp;Table2[[#This Row],[Column5]]&amp;")"</f>
        <v>P4-TBSI2-M4(14)</v>
      </c>
      <c r="G41" s="1" t="s">
        <v>24</v>
      </c>
      <c r="H41" s="1"/>
      <c r="I41" s="2" t="s">
        <v>25</v>
      </c>
      <c r="J41" s="3">
        <v>22</v>
      </c>
      <c r="K41" s="2" t="s">
        <v>26</v>
      </c>
      <c r="L41" s="1" t="s">
        <v>108</v>
      </c>
      <c r="M41" s="1" t="str">
        <f>IF(Table2[[#This Row],[Need Mark]]="Y",I41&amp;"-"&amp;J41&amp;"/"&amp;F41,"-")</f>
        <v>C4S1-22/P4-TBSI2-M4(14)</v>
      </c>
      <c r="N41" s="1" t="str">
        <f>IF(Table2[[#This Row],[Need Mark]]="Y",F41&amp;"/"&amp;I41&amp;"-"&amp;J41,"-")</f>
        <v>P4-TBSI2-M4(14)/C4S1-22</v>
      </c>
      <c r="O41" s="1" t="str">
        <f>Table2[[#This Row],[Column3]]</f>
        <v>PNF-HiC2821</v>
      </c>
      <c r="P41" s="1" t="s">
        <v>94</v>
      </c>
      <c r="Q41" s="1" t="s">
        <v>109</v>
      </c>
      <c r="R41" s="1" t="s">
        <v>110</v>
      </c>
      <c r="S41" s="1" t="s">
        <v>31</v>
      </c>
      <c r="T41" s="4" t="s">
        <v>32</v>
      </c>
    </row>
    <row r="42" spans="1:20">
      <c r="A42" s="1" t="s">
        <v>20</v>
      </c>
      <c r="B42" s="1" t="s">
        <v>97</v>
      </c>
      <c r="C42" s="1" t="s">
        <v>22</v>
      </c>
      <c r="D42" s="1" t="str">
        <f t="shared" ref="D42" si="17">D41</f>
        <v>M4</v>
      </c>
      <c r="E42" s="1">
        <v>11</v>
      </c>
      <c r="F42" s="1" t="str">
        <f>A42&amp;"-"&amp;B42&amp;"-"&amp;D42&amp;"("&amp;Table2[[#This Row],[Column5]]&amp;")"</f>
        <v>P4-TBSI2-M4(11)</v>
      </c>
      <c r="G42" s="1"/>
      <c r="H42" s="1"/>
      <c r="I42" s="2" t="s">
        <v>33</v>
      </c>
      <c r="J42" s="3" t="s">
        <v>101</v>
      </c>
      <c r="K42" s="2" t="s">
        <v>35</v>
      </c>
      <c r="L42" s="2" t="s">
        <v>35</v>
      </c>
      <c r="M42" s="1" t="str">
        <f>IF(Table2[[#This Row],[Need Mark]]="Y",I42&amp;"-"&amp;J42&amp;"/"&amp;F42,"-")</f>
        <v>-</v>
      </c>
      <c r="N42" s="1" t="str">
        <f>IF(Table2[[#This Row],[Need Mark]]="Y",F42&amp;"/"&amp;I42&amp;"-"&amp;J42,"-")</f>
        <v>-</v>
      </c>
      <c r="O42" s="1" t="str">
        <f>Table2[[#This Row],[Column3]]</f>
        <v>PNF-HiC2821</v>
      </c>
      <c r="P42" s="5" t="s">
        <v>94</v>
      </c>
      <c r="Q42" s="5" t="s">
        <v>109</v>
      </c>
      <c r="R42" s="5" t="s">
        <v>110</v>
      </c>
      <c r="S42" s="5" t="s">
        <v>31</v>
      </c>
      <c r="T42" s="5" t="s">
        <v>32</v>
      </c>
    </row>
    <row r="43" spans="1:20">
      <c r="A43" s="1" t="s">
        <v>20</v>
      </c>
      <c r="B43" s="1" t="s">
        <v>97</v>
      </c>
      <c r="C43" s="1" t="s">
        <v>22</v>
      </c>
      <c r="D43" s="1" t="s">
        <v>48</v>
      </c>
      <c r="E43" s="1">
        <v>14</v>
      </c>
      <c r="F43" s="1" t="str">
        <f>A43&amp;"-"&amp;B43&amp;"-"&amp;D43&amp;"("&amp;Table2[[#This Row],[Column5]]&amp;")"</f>
        <v>P4-TBSI2-M5(14)</v>
      </c>
      <c r="G43" s="1" t="s">
        <v>24</v>
      </c>
      <c r="H43" s="1"/>
      <c r="I43" s="2" t="s">
        <v>25</v>
      </c>
      <c r="J43" s="3">
        <v>23</v>
      </c>
      <c r="K43" s="2" t="s">
        <v>26</v>
      </c>
      <c r="L43" s="1" t="s">
        <v>111</v>
      </c>
      <c r="M43" s="1" t="str">
        <f>IF(Table2[[#This Row],[Need Mark]]="Y",I43&amp;"-"&amp;J43&amp;"/"&amp;F43,"-")</f>
        <v>C4S1-23/P4-TBSI2-M5(14)</v>
      </c>
      <c r="N43" s="1" t="str">
        <f>IF(Table2[[#This Row],[Need Mark]]="Y",F43&amp;"/"&amp;I43&amp;"-"&amp;J43,"-")</f>
        <v>P4-TBSI2-M5(14)/C4S1-23</v>
      </c>
      <c r="O43" s="1" t="str">
        <f>Table2[[#This Row],[Column3]]</f>
        <v>PNF-HiC2821</v>
      </c>
      <c r="P43" s="1" t="s">
        <v>94</v>
      </c>
      <c r="Q43" s="1" t="s">
        <v>112</v>
      </c>
      <c r="R43" s="1" t="s">
        <v>113</v>
      </c>
      <c r="S43" s="1" t="s">
        <v>31</v>
      </c>
      <c r="T43" s="4" t="s">
        <v>32</v>
      </c>
    </row>
    <row r="44" spans="1:20">
      <c r="A44" s="1" t="s">
        <v>20</v>
      </c>
      <c r="B44" s="1" t="s">
        <v>97</v>
      </c>
      <c r="C44" s="1" t="s">
        <v>22</v>
      </c>
      <c r="D44" s="1" t="str">
        <f t="shared" ref="D44" si="18">D43</f>
        <v>M5</v>
      </c>
      <c r="E44" s="1">
        <v>11</v>
      </c>
      <c r="F44" s="1" t="str">
        <f>A44&amp;"-"&amp;B44&amp;"-"&amp;D44&amp;"("&amp;Table2[[#This Row],[Column5]]&amp;")"</f>
        <v>P4-TBSI2-M5(11)</v>
      </c>
      <c r="G44" s="1"/>
      <c r="H44" s="1"/>
      <c r="I44" s="2" t="s">
        <v>33</v>
      </c>
      <c r="J44" s="3" t="s">
        <v>101</v>
      </c>
      <c r="K44" s="2" t="s">
        <v>35</v>
      </c>
      <c r="L44" s="2" t="s">
        <v>35</v>
      </c>
      <c r="M44" s="1" t="str">
        <f>IF(Table2[[#This Row],[Need Mark]]="Y",I44&amp;"-"&amp;J44&amp;"/"&amp;F44,"-")</f>
        <v>-</v>
      </c>
      <c r="N44" s="1" t="str">
        <f>IF(Table2[[#This Row],[Need Mark]]="Y",F44&amp;"/"&amp;I44&amp;"-"&amp;J44,"-")</f>
        <v>-</v>
      </c>
      <c r="O44" s="1" t="str">
        <f>Table2[[#This Row],[Column3]]</f>
        <v>PNF-HiC2821</v>
      </c>
      <c r="P44" s="5" t="s">
        <v>94</v>
      </c>
      <c r="Q44" s="5" t="s">
        <v>112</v>
      </c>
      <c r="R44" s="5" t="s">
        <v>113</v>
      </c>
      <c r="S44" s="5" t="s">
        <v>31</v>
      </c>
      <c r="T44" s="5" t="s">
        <v>32</v>
      </c>
    </row>
    <row r="45" spans="1:20">
      <c r="A45" s="1" t="s">
        <v>20</v>
      </c>
      <c r="B45" s="1" t="s">
        <v>97</v>
      </c>
      <c r="C45" s="1" t="s">
        <v>22</v>
      </c>
      <c r="D45" s="1" t="s">
        <v>52</v>
      </c>
      <c r="E45" s="1">
        <v>14</v>
      </c>
      <c r="F45" s="1" t="str">
        <f>A45&amp;"-"&amp;B45&amp;"-"&amp;D45&amp;"("&amp;Table2[[#This Row],[Column5]]&amp;")"</f>
        <v>P4-TBSI2-M6(14)</v>
      </c>
      <c r="G45" s="1" t="s">
        <v>24</v>
      </c>
      <c r="H45" s="1"/>
      <c r="I45" s="2" t="s">
        <v>25</v>
      </c>
      <c r="J45" s="3">
        <v>24</v>
      </c>
      <c r="K45" s="2" t="s">
        <v>26</v>
      </c>
      <c r="L45" s="1" t="s">
        <v>114</v>
      </c>
      <c r="M45" s="1" t="str">
        <f>IF(Table2[[#This Row],[Need Mark]]="Y",I45&amp;"-"&amp;J45&amp;"/"&amp;F45,"-")</f>
        <v>C4S1-24/P4-TBSI2-M6(14)</v>
      </c>
      <c r="N45" s="1" t="str">
        <f>IF(Table2[[#This Row],[Need Mark]]="Y",F45&amp;"/"&amp;I45&amp;"-"&amp;J45,"-")</f>
        <v>P4-TBSI2-M6(14)/C4S1-24</v>
      </c>
      <c r="O45" s="1" t="str">
        <f>Table2[[#This Row],[Column3]]</f>
        <v>PNF-HiC2821</v>
      </c>
      <c r="P45" s="1" t="s">
        <v>94</v>
      </c>
      <c r="Q45" s="1" t="s">
        <v>115</v>
      </c>
      <c r="R45" s="1" t="s">
        <v>116</v>
      </c>
      <c r="S45" s="1" t="s">
        <v>31</v>
      </c>
      <c r="T45" s="4" t="s">
        <v>32</v>
      </c>
    </row>
    <row r="46" spans="1:20">
      <c r="A46" s="1" t="s">
        <v>20</v>
      </c>
      <c r="B46" s="1" t="s">
        <v>97</v>
      </c>
      <c r="C46" s="1" t="s">
        <v>22</v>
      </c>
      <c r="D46" s="1" t="str">
        <f t="shared" ref="D46" si="19">D45</f>
        <v>M6</v>
      </c>
      <c r="E46" s="1">
        <v>11</v>
      </c>
      <c r="F46" s="1" t="str">
        <f>A46&amp;"-"&amp;B46&amp;"-"&amp;D46&amp;"("&amp;Table2[[#This Row],[Column5]]&amp;")"</f>
        <v>P4-TBSI2-M6(11)</v>
      </c>
      <c r="G46" s="1"/>
      <c r="H46" s="1"/>
      <c r="I46" s="2" t="s">
        <v>33</v>
      </c>
      <c r="J46" s="3" t="s">
        <v>101</v>
      </c>
      <c r="K46" s="2" t="s">
        <v>35</v>
      </c>
      <c r="L46" s="1" t="s">
        <v>35</v>
      </c>
      <c r="M46" s="1" t="str">
        <f>IF(Table2[[#This Row],[Need Mark]]="Y",I46&amp;"-"&amp;J46&amp;"/"&amp;F46,"-")</f>
        <v>-</v>
      </c>
      <c r="N46" s="1" t="str">
        <f>IF(Table2[[#This Row],[Need Mark]]="Y",F46&amp;"/"&amp;I46&amp;"-"&amp;J46,"-")</f>
        <v>-</v>
      </c>
      <c r="O46" s="1" t="str">
        <f>Table2[[#This Row],[Column3]]</f>
        <v>PNF-HiC2821</v>
      </c>
      <c r="P46" s="1" t="s">
        <v>94</v>
      </c>
      <c r="Q46" s="1" t="s">
        <v>115</v>
      </c>
      <c r="R46" s="1" t="s">
        <v>116</v>
      </c>
      <c r="S46" s="1" t="s">
        <v>31</v>
      </c>
      <c r="T46" s="4" t="s">
        <v>32</v>
      </c>
    </row>
    <row r="47" spans="1:20">
      <c r="A47" s="1" t="s">
        <v>20</v>
      </c>
      <c r="B47" s="1" t="s">
        <v>97</v>
      </c>
      <c r="C47" s="1" t="s">
        <v>22</v>
      </c>
      <c r="D47" s="1" t="s">
        <v>56</v>
      </c>
      <c r="E47" s="1">
        <v>14</v>
      </c>
      <c r="F47" s="1" t="str">
        <f>A47&amp;"-"&amp;B47&amp;"-"&amp;D47&amp;"("&amp;Table2[[#This Row],[Column5]]&amp;")"</f>
        <v>P4-TBSI2-M7(14)</v>
      </c>
      <c r="G47" s="1" t="s">
        <v>24</v>
      </c>
      <c r="H47" s="1"/>
      <c r="I47" s="2" t="s">
        <v>25</v>
      </c>
      <c r="J47" s="3">
        <v>25</v>
      </c>
      <c r="K47" s="2" t="s">
        <v>26</v>
      </c>
      <c r="L47" s="1" t="s">
        <v>117</v>
      </c>
      <c r="M47" s="1" t="str">
        <f>IF(Table2[[#This Row],[Need Mark]]="Y",I47&amp;"-"&amp;J47&amp;"/"&amp;F47,"-")</f>
        <v>C4S1-25/P4-TBSI2-M7(14)</v>
      </c>
      <c r="N47" s="1" t="str">
        <f>IF(Table2[[#This Row],[Need Mark]]="Y",F47&amp;"/"&amp;I47&amp;"-"&amp;J47,"-")</f>
        <v>P4-TBSI2-M7(14)/C4S1-25</v>
      </c>
      <c r="O47" s="1" t="str">
        <f>Table2[[#This Row],[Column3]]</f>
        <v>PNF-HiC2821</v>
      </c>
      <c r="P47" s="1" t="s">
        <v>118</v>
      </c>
      <c r="Q47" s="1" t="s">
        <v>119</v>
      </c>
      <c r="R47" s="1" t="s">
        <v>120</v>
      </c>
      <c r="S47" s="1" t="s">
        <v>31</v>
      </c>
      <c r="T47" s="4" t="s">
        <v>32</v>
      </c>
    </row>
    <row r="48" spans="1:20">
      <c r="A48" s="1" t="s">
        <v>20</v>
      </c>
      <c r="B48" s="1" t="s">
        <v>97</v>
      </c>
      <c r="C48" s="1" t="s">
        <v>22</v>
      </c>
      <c r="D48" s="1" t="str">
        <f t="shared" ref="D48" si="20">D47</f>
        <v>M7</v>
      </c>
      <c r="E48" s="1">
        <v>11</v>
      </c>
      <c r="F48" s="1" t="str">
        <f>A48&amp;"-"&amp;B48&amp;"-"&amp;D48&amp;"("&amp;Table2[[#This Row],[Column5]]&amp;")"</f>
        <v>P4-TBSI2-M7(11)</v>
      </c>
      <c r="G48" s="1"/>
      <c r="H48" s="1"/>
      <c r="I48" s="2" t="s">
        <v>33</v>
      </c>
      <c r="J48" s="3" t="s">
        <v>101</v>
      </c>
      <c r="K48" s="2" t="s">
        <v>35</v>
      </c>
      <c r="L48" s="1" t="s">
        <v>35</v>
      </c>
      <c r="M48" s="1" t="str">
        <f>IF(Table2[[#This Row],[Need Mark]]="Y",I48&amp;"-"&amp;J48&amp;"/"&amp;F48,"-")</f>
        <v>-</v>
      </c>
      <c r="N48" s="1" t="str">
        <f>IF(Table2[[#This Row],[Need Mark]]="Y",F48&amp;"/"&amp;I48&amp;"-"&amp;J48,"-")</f>
        <v>-</v>
      </c>
      <c r="O48" s="1" t="str">
        <f>Table2[[#This Row],[Column3]]</f>
        <v>PNF-HiC2821</v>
      </c>
      <c r="P48" s="5" t="str">
        <f>P47</f>
        <v>IS-JB-612</v>
      </c>
      <c r="Q48" s="5" t="str">
        <f t="shared" ref="Q48:T48" si="21">Q47</f>
        <v>ISV-61303_DI_1</v>
      </c>
      <c r="R48" s="5" t="str">
        <f t="shared" si="21"/>
        <v>ISV-61303</v>
      </c>
      <c r="S48" s="5" t="str">
        <f t="shared" si="21"/>
        <v>Process Instrument</v>
      </c>
      <c r="T48" s="5" t="str">
        <f t="shared" si="21"/>
        <v>ACTIVE</v>
      </c>
    </row>
    <row r="49" spans="1:20">
      <c r="A49" s="1" t="s">
        <v>20</v>
      </c>
      <c r="B49" s="1" t="s">
        <v>97</v>
      </c>
      <c r="C49" s="1" t="s">
        <v>22</v>
      </c>
      <c r="D49" s="1" t="s">
        <v>60</v>
      </c>
      <c r="E49" s="1">
        <v>14</v>
      </c>
      <c r="F49" s="1" t="str">
        <f>A49&amp;"-"&amp;B49&amp;"-"&amp;D49&amp;"("&amp;Table2[[#This Row],[Column5]]&amp;")"</f>
        <v>P4-TBSI2-M8(14)</v>
      </c>
      <c r="G49" s="1" t="s">
        <v>24</v>
      </c>
      <c r="H49" s="1"/>
      <c r="I49" s="2" t="s">
        <v>25</v>
      </c>
      <c r="J49" s="3">
        <v>26</v>
      </c>
      <c r="K49" s="2" t="s">
        <v>26</v>
      </c>
      <c r="L49" s="1" t="s">
        <v>121</v>
      </c>
      <c r="M49" s="1" t="str">
        <f>IF(Table2[[#This Row],[Need Mark]]="Y",I49&amp;"-"&amp;J49&amp;"/"&amp;F49,"-")</f>
        <v>C4S1-26/P4-TBSI2-M8(14)</v>
      </c>
      <c r="N49" s="1" t="str">
        <f>IF(Table2[[#This Row],[Need Mark]]="Y",F49&amp;"/"&amp;I49&amp;"-"&amp;J49,"-")</f>
        <v>P4-TBSI2-M8(14)/C4S1-26</v>
      </c>
      <c r="O49" s="1" t="str">
        <f>Table2[[#This Row],[Column3]]</f>
        <v>PNF-HiC2821</v>
      </c>
      <c r="P49" s="5" t="s">
        <v>118</v>
      </c>
      <c r="Q49" s="5" t="s">
        <v>122</v>
      </c>
      <c r="R49" s="5" t="s">
        <v>123</v>
      </c>
      <c r="S49" s="5" t="s">
        <v>31</v>
      </c>
      <c r="T49" s="5" t="s">
        <v>32</v>
      </c>
    </row>
    <row r="50" spans="1:20">
      <c r="A50" s="1" t="s">
        <v>20</v>
      </c>
      <c r="B50" s="1" t="s">
        <v>97</v>
      </c>
      <c r="C50" s="1" t="s">
        <v>22</v>
      </c>
      <c r="D50" s="1" t="str">
        <f t="shared" ref="D50" si="22">D49</f>
        <v>M8</v>
      </c>
      <c r="E50" s="1">
        <v>11</v>
      </c>
      <c r="F50" s="1" t="str">
        <f>A50&amp;"-"&amp;B50&amp;"-"&amp;D50&amp;"("&amp;Table2[[#This Row],[Column5]]&amp;")"</f>
        <v>P4-TBSI2-M8(11)</v>
      </c>
      <c r="G50" s="1"/>
      <c r="H50" s="1"/>
      <c r="I50" s="2" t="s">
        <v>33</v>
      </c>
      <c r="J50" s="3" t="s">
        <v>101</v>
      </c>
      <c r="K50" s="2" t="s">
        <v>35</v>
      </c>
      <c r="L50" s="1" t="s">
        <v>35</v>
      </c>
      <c r="M50" s="1" t="str">
        <f>IF(Table2[[#This Row],[Need Mark]]="Y",I50&amp;"-"&amp;J50&amp;"/"&amp;F50,"-")</f>
        <v>-</v>
      </c>
      <c r="N50" s="1" t="str">
        <f>IF(Table2[[#This Row],[Need Mark]]="Y",F50&amp;"/"&amp;I50&amp;"-"&amp;J50,"-")</f>
        <v>-</v>
      </c>
      <c r="O50" s="1" t="str">
        <f>Table2[[#This Row],[Column3]]</f>
        <v>PNF-HiC2821</v>
      </c>
      <c r="P50" s="5" t="str">
        <f>P49</f>
        <v>IS-JB-612</v>
      </c>
      <c r="Q50" s="5" t="str">
        <f t="shared" ref="Q50:T50" si="23">Q49</f>
        <v>ISV-61304_DI_1</v>
      </c>
      <c r="R50" s="5" t="str">
        <f t="shared" si="23"/>
        <v>ISV-61304</v>
      </c>
      <c r="S50" s="5" t="str">
        <f t="shared" si="23"/>
        <v>Process Instrument</v>
      </c>
      <c r="T50" s="5" t="str">
        <f t="shared" si="23"/>
        <v>ACTIVE</v>
      </c>
    </row>
    <row r="51" spans="1:20">
      <c r="A51" s="1" t="s">
        <v>20</v>
      </c>
      <c r="B51" s="1" t="s">
        <v>97</v>
      </c>
      <c r="C51" s="1" t="s">
        <v>22</v>
      </c>
      <c r="D51" s="1" t="s">
        <v>64</v>
      </c>
      <c r="E51" s="1">
        <v>14</v>
      </c>
      <c r="F51" s="1" t="str">
        <f>A51&amp;"-"&amp;B51&amp;"-"&amp;D51&amp;"("&amp;Table2[[#This Row],[Column5]]&amp;")"</f>
        <v>P4-TBSI2-M9(14)</v>
      </c>
      <c r="G51" s="1" t="s">
        <v>24</v>
      </c>
      <c r="H51" s="1"/>
      <c r="I51" s="2" t="s">
        <v>25</v>
      </c>
      <c r="J51" s="3">
        <v>27</v>
      </c>
      <c r="K51" s="2" t="s">
        <v>26</v>
      </c>
      <c r="L51" s="1" t="s">
        <v>124</v>
      </c>
      <c r="M51" s="1" t="str">
        <f>IF(Table2[[#This Row],[Need Mark]]="Y",I51&amp;"-"&amp;J51&amp;"/"&amp;F51,"-")</f>
        <v>C4S1-27/P4-TBSI2-M9(14)</v>
      </c>
      <c r="N51" s="1" t="str">
        <f>IF(Table2[[#This Row],[Need Mark]]="Y",F51&amp;"/"&amp;I51&amp;"-"&amp;J51,"-")</f>
        <v>P4-TBSI2-M9(14)/C4S1-27</v>
      </c>
      <c r="O51" s="1" t="str">
        <f>Table2[[#This Row],[Column3]]</f>
        <v>PNF-HiC2821</v>
      </c>
      <c r="P51" s="5" t="s">
        <v>118</v>
      </c>
      <c r="Q51" s="5" t="s">
        <v>125</v>
      </c>
      <c r="R51" s="5" t="s">
        <v>126</v>
      </c>
      <c r="S51" s="5" t="s">
        <v>31</v>
      </c>
      <c r="T51" s="5" t="s">
        <v>32</v>
      </c>
    </row>
    <row r="52" spans="1:20">
      <c r="A52" s="1" t="s">
        <v>20</v>
      </c>
      <c r="B52" s="1" t="s">
        <v>97</v>
      </c>
      <c r="C52" s="1" t="s">
        <v>22</v>
      </c>
      <c r="D52" s="1" t="str">
        <f t="shared" ref="D52" si="24">D51</f>
        <v>M9</v>
      </c>
      <c r="E52" s="1">
        <v>11</v>
      </c>
      <c r="F52" s="1" t="str">
        <f>A52&amp;"-"&amp;B52&amp;"-"&amp;D52&amp;"("&amp;Table2[[#This Row],[Column5]]&amp;")"</f>
        <v>P4-TBSI2-M9(11)</v>
      </c>
      <c r="G52" s="1"/>
      <c r="H52" s="1"/>
      <c r="I52" s="2" t="s">
        <v>33</v>
      </c>
      <c r="J52" s="3" t="s">
        <v>101</v>
      </c>
      <c r="K52" s="2" t="s">
        <v>35</v>
      </c>
      <c r="L52" s="1" t="s">
        <v>35</v>
      </c>
      <c r="M52" s="1" t="str">
        <f>IF(Table2[[#This Row],[Need Mark]]="Y",I52&amp;"-"&amp;J52&amp;"/"&amp;F52,"-")</f>
        <v>-</v>
      </c>
      <c r="N52" s="1" t="str">
        <f>IF(Table2[[#This Row],[Need Mark]]="Y",F52&amp;"/"&amp;I52&amp;"-"&amp;J52,"-")</f>
        <v>-</v>
      </c>
      <c r="O52" s="1" t="str">
        <f>Table2[[#This Row],[Column3]]</f>
        <v>PNF-HiC2821</v>
      </c>
      <c r="P52" s="5" t="str">
        <f>P51</f>
        <v>IS-JB-612</v>
      </c>
      <c r="Q52" s="5" t="str">
        <f t="shared" ref="Q52:T52" si="25">Q51</f>
        <v>LSH-61304_DI_1</v>
      </c>
      <c r="R52" s="5" t="str">
        <f t="shared" si="25"/>
        <v>LSH-61304</v>
      </c>
      <c r="S52" s="5" t="str">
        <f t="shared" si="25"/>
        <v>Process Instrument</v>
      </c>
      <c r="T52" s="5" t="str">
        <f t="shared" si="25"/>
        <v>ACTIVE</v>
      </c>
    </row>
    <row r="53" spans="1:20">
      <c r="A53" s="1" t="s">
        <v>20</v>
      </c>
      <c r="B53" s="1" t="s">
        <v>97</v>
      </c>
      <c r="C53" s="1" t="s">
        <v>22</v>
      </c>
      <c r="D53" s="1" t="s">
        <v>68</v>
      </c>
      <c r="E53" s="1">
        <v>14</v>
      </c>
      <c r="F53" s="1" t="str">
        <f>A53&amp;"-"&amp;B53&amp;"-"&amp;D53&amp;"("&amp;Table2[[#This Row],[Column5]]&amp;")"</f>
        <v>P4-TBSI2-M10(14)</v>
      </c>
      <c r="G53" s="1" t="s">
        <v>24</v>
      </c>
      <c r="H53" s="1"/>
      <c r="I53" s="2" t="s">
        <v>25</v>
      </c>
      <c r="J53" s="3">
        <v>28</v>
      </c>
      <c r="K53" s="2" t="s">
        <v>26</v>
      </c>
      <c r="L53" s="1" t="s">
        <v>127</v>
      </c>
      <c r="M53" s="1" t="str">
        <f>IF(Table2[[#This Row],[Need Mark]]="Y",I53&amp;"-"&amp;J53&amp;"/"&amp;F53,"-")</f>
        <v>C4S1-28/P4-TBSI2-M10(14)</v>
      </c>
      <c r="N53" s="1" t="str">
        <f>IF(Table2[[#This Row],[Need Mark]]="Y",F53&amp;"/"&amp;I53&amp;"-"&amp;J53,"-")</f>
        <v>P4-TBSI2-M10(14)/C4S1-28</v>
      </c>
      <c r="O53" s="1" t="str">
        <f>Table2[[#This Row],[Column3]]</f>
        <v>PNF-HiC2821</v>
      </c>
      <c r="P53" s="5" t="s">
        <v>118</v>
      </c>
      <c r="Q53" s="5" t="s">
        <v>128</v>
      </c>
      <c r="R53" s="5" t="s">
        <v>129</v>
      </c>
      <c r="S53" s="5" t="s">
        <v>31</v>
      </c>
      <c r="T53" s="5" t="s">
        <v>32</v>
      </c>
    </row>
    <row r="54" spans="1:20">
      <c r="A54" s="1" t="s">
        <v>20</v>
      </c>
      <c r="B54" s="1" t="s">
        <v>97</v>
      </c>
      <c r="C54" s="1" t="s">
        <v>22</v>
      </c>
      <c r="D54" s="1" t="str">
        <f t="shared" ref="D54" si="26">D53</f>
        <v>M10</v>
      </c>
      <c r="E54" s="1">
        <v>11</v>
      </c>
      <c r="F54" s="1" t="str">
        <f>A54&amp;"-"&amp;B54&amp;"-"&amp;D54&amp;"("&amp;Table2[[#This Row],[Column5]]&amp;")"</f>
        <v>P4-TBSI2-M10(11)</v>
      </c>
      <c r="G54" s="1"/>
      <c r="H54" s="1"/>
      <c r="I54" s="2" t="s">
        <v>33</v>
      </c>
      <c r="J54" s="3" t="s">
        <v>101</v>
      </c>
      <c r="K54" s="2" t="s">
        <v>35</v>
      </c>
      <c r="L54" s="1" t="s">
        <v>35</v>
      </c>
      <c r="M54" s="1" t="str">
        <f>IF(Table2[[#This Row],[Need Mark]]="Y",I54&amp;"-"&amp;J54&amp;"/"&amp;F54,"-")</f>
        <v>-</v>
      </c>
      <c r="N54" s="1" t="str">
        <f>IF(Table2[[#This Row],[Need Mark]]="Y",F54&amp;"/"&amp;I54&amp;"-"&amp;J54,"-")</f>
        <v>-</v>
      </c>
      <c r="O54" s="1" t="str">
        <f>Table2[[#This Row],[Column3]]</f>
        <v>PNF-HiC2821</v>
      </c>
      <c r="P54" s="5" t="str">
        <f>P53</f>
        <v>IS-JB-612</v>
      </c>
      <c r="Q54" s="5" t="str">
        <f t="shared" ref="Q54:T54" si="27">Q53</f>
        <v>LSH-61305_DI_1</v>
      </c>
      <c r="R54" s="5" t="str">
        <f t="shared" si="27"/>
        <v>LSH-61305</v>
      </c>
      <c r="S54" s="5" t="str">
        <f t="shared" si="27"/>
        <v>Process Instrument</v>
      </c>
      <c r="T54" s="5" t="str">
        <f t="shared" si="27"/>
        <v>ACTIVE</v>
      </c>
    </row>
    <row r="55" spans="1:20">
      <c r="A55" s="1" t="s">
        <v>20</v>
      </c>
      <c r="B55" s="1" t="s">
        <v>97</v>
      </c>
      <c r="C55" s="1" t="s">
        <v>22</v>
      </c>
      <c r="D55" s="1" t="s">
        <v>72</v>
      </c>
      <c r="E55" s="1">
        <v>14</v>
      </c>
      <c r="F55" s="1" t="str">
        <f>A55&amp;"-"&amp;B55&amp;"-"&amp;D55&amp;"("&amp;Table2[[#This Row],[Column5]]&amp;")"</f>
        <v>P4-TBSI2-M11(14)</v>
      </c>
      <c r="G55" s="1" t="s">
        <v>24</v>
      </c>
      <c r="H55" s="1"/>
      <c r="I55" s="2" t="s">
        <v>25</v>
      </c>
      <c r="J55" s="3">
        <v>29</v>
      </c>
      <c r="K55" s="2" t="s">
        <v>26</v>
      </c>
      <c r="L55" s="1" t="s">
        <v>130</v>
      </c>
      <c r="M55" s="1" t="str">
        <f>IF(Table2[[#This Row],[Need Mark]]="Y",I55&amp;"-"&amp;J55&amp;"/"&amp;F55,"-")</f>
        <v>C4S1-29/P4-TBSI2-M11(14)</v>
      </c>
      <c r="N55" s="1" t="str">
        <f>IF(Table2[[#This Row],[Need Mark]]="Y",F55&amp;"/"&amp;I55&amp;"-"&amp;J55,"-")</f>
        <v>P4-TBSI2-M11(14)/C4S1-29</v>
      </c>
      <c r="O55" s="1" t="str">
        <f>Table2[[#This Row],[Column3]]</f>
        <v>PNF-HiC2821</v>
      </c>
      <c r="P55" s="5" t="s">
        <v>118</v>
      </c>
      <c r="Q55" s="5" t="s">
        <v>131</v>
      </c>
      <c r="R55" s="5" t="s">
        <v>132</v>
      </c>
      <c r="S55" s="5" t="s">
        <v>31</v>
      </c>
      <c r="T55" s="5" t="s">
        <v>32</v>
      </c>
    </row>
    <row r="56" spans="1:20">
      <c r="A56" s="1" t="s">
        <v>20</v>
      </c>
      <c r="B56" s="1" t="s">
        <v>97</v>
      </c>
      <c r="C56" s="1" t="s">
        <v>22</v>
      </c>
      <c r="D56" s="1" t="str">
        <f t="shared" ref="D56" si="28">D55</f>
        <v>M11</v>
      </c>
      <c r="E56" s="1">
        <v>11</v>
      </c>
      <c r="F56" s="1" t="str">
        <f>A56&amp;"-"&amp;B56&amp;"-"&amp;D56&amp;"("&amp;Table2[[#This Row],[Column5]]&amp;")"</f>
        <v>P4-TBSI2-M11(11)</v>
      </c>
      <c r="G56" s="1"/>
      <c r="H56" s="1"/>
      <c r="I56" s="2" t="s">
        <v>33</v>
      </c>
      <c r="J56" s="3" t="s">
        <v>101</v>
      </c>
      <c r="K56" s="2" t="s">
        <v>35</v>
      </c>
      <c r="L56" s="1" t="s">
        <v>35</v>
      </c>
      <c r="M56" s="1" t="str">
        <f>IF(Table2[[#This Row],[Need Mark]]="Y",I56&amp;"-"&amp;J56&amp;"/"&amp;F56,"-")</f>
        <v>-</v>
      </c>
      <c r="N56" s="1" t="str">
        <f>IF(Table2[[#This Row],[Need Mark]]="Y",F56&amp;"/"&amp;I56&amp;"-"&amp;J56,"-")</f>
        <v>-</v>
      </c>
      <c r="O56" s="1" t="str">
        <f>Table2[[#This Row],[Column3]]</f>
        <v>PNF-HiC2821</v>
      </c>
      <c r="P56" s="5" t="str">
        <f>P55</f>
        <v>IS-JB-612</v>
      </c>
      <c r="Q56" s="5" t="str">
        <f t="shared" ref="Q56:T56" si="29">Q55</f>
        <v>LSH-61307_DI_1</v>
      </c>
      <c r="R56" s="5" t="str">
        <f t="shared" si="29"/>
        <v>LSH-61307</v>
      </c>
      <c r="S56" s="5" t="str">
        <f t="shared" si="29"/>
        <v>Process Instrument</v>
      </c>
      <c r="T56" s="5" t="str">
        <f t="shared" si="29"/>
        <v>ACTIVE</v>
      </c>
    </row>
    <row r="57" spans="1:20">
      <c r="A57" s="1" t="s">
        <v>20</v>
      </c>
      <c r="B57" s="1" t="s">
        <v>97</v>
      </c>
      <c r="C57" s="1" t="s">
        <v>22</v>
      </c>
      <c r="D57" s="1" t="s">
        <v>76</v>
      </c>
      <c r="E57" s="1">
        <v>14</v>
      </c>
      <c r="F57" s="1" t="str">
        <f>A57&amp;"-"&amp;B57&amp;"-"&amp;D57&amp;"("&amp;Table2[[#This Row],[Column5]]&amp;")"</f>
        <v>P4-TBSI2-M12(14)</v>
      </c>
      <c r="G57" s="1" t="s">
        <v>24</v>
      </c>
      <c r="H57" s="1"/>
      <c r="I57" s="2" t="s">
        <v>25</v>
      </c>
      <c r="J57" s="3">
        <v>30</v>
      </c>
      <c r="K57" s="2" t="s">
        <v>26</v>
      </c>
      <c r="L57" s="1" t="s">
        <v>133</v>
      </c>
      <c r="M57" s="1" t="str">
        <f>IF(Table2[[#This Row],[Need Mark]]="Y",I57&amp;"-"&amp;J57&amp;"/"&amp;F57,"-")</f>
        <v>C4S1-30/P4-TBSI2-M12(14)</v>
      </c>
      <c r="N57" s="1" t="str">
        <f>IF(Table2[[#This Row],[Need Mark]]="Y",F57&amp;"/"&amp;I57&amp;"-"&amp;J57,"-")</f>
        <v>P4-TBSI2-M12(14)/C4S1-30</v>
      </c>
      <c r="O57" s="1" t="str">
        <f>Table2[[#This Row],[Column3]]</f>
        <v>PNF-HiC2821</v>
      </c>
      <c r="P57" s="5" t="s">
        <v>118</v>
      </c>
      <c r="Q57" s="5" t="s">
        <v>134</v>
      </c>
      <c r="R57" s="5" t="s">
        <v>135</v>
      </c>
      <c r="S57" s="5" t="s">
        <v>31</v>
      </c>
      <c r="T57" s="5" t="s">
        <v>32</v>
      </c>
    </row>
    <row r="58" spans="1:20">
      <c r="A58" s="1" t="s">
        <v>20</v>
      </c>
      <c r="B58" s="1" t="s">
        <v>97</v>
      </c>
      <c r="C58" s="1" t="s">
        <v>22</v>
      </c>
      <c r="D58" s="1" t="str">
        <f t="shared" ref="D58" si="30">D57</f>
        <v>M12</v>
      </c>
      <c r="E58" s="1">
        <v>11</v>
      </c>
      <c r="F58" s="1" t="str">
        <f>A58&amp;"-"&amp;B58&amp;"-"&amp;D58&amp;"("&amp;Table2[[#This Row],[Column5]]&amp;")"</f>
        <v>P4-TBSI2-M12(11)</v>
      </c>
      <c r="G58" s="1"/>
      <c r="H58" s="1"/>
      <c r="I58" s="2" t="s">
        <v>33</v>
      </c>
      <c r="J58" s="3" t="s">
        <v>101</v>
      </c>
      <c r="K58" s="2" t="s">
        <v>35</v>
      </c>
      <c r="L58" s="1" t="s">
        <v>35</v>
      </c>
      <c r="M58" s="1" t="str">
        <f>IF(Table2[[#This Row],[Need Mark]]="Y",I58&amp;"-"&amp;J58&amp;"/"&amp;F58,"-")</f>
        <v>-</v>
      </c>
      <c r="N58" s="1" t="str">
        <f>IF(Table2[[#This Row],[Need Mark]]="Y",F58&amp;"/"&amp;I58&amp;"-"&amp;J58,"-")</f>
        <v>-</v>
      </c>
      <c r="O58" s="1" t="str">
        <f>Table2[[#This Row],[Column3]]</f>
        <v>PNF-HiC2821</v>
      </c>
      <c r="P58" s="5" t="str">
        <f>P57</f>
        <v>IS-JB-612</v>
      </c>
      <c r="Q58" s="5" t="str">
        <f t="shared" ref="Q58:T58" si="31">Q57</f>
        <v>LSH-61312_DI_1</v>
      </c>
      <c r="R58" s="5" t="str">
        <f t="shared" si="31"/>
        <v>LSH-61312</v>
      </c>
      <c r="S58" s="5" t="str">
        <f t="shared" si="31"/>
        <v>Process Instrument</v>
      </c>
      <c r="T58" s="5" t="str">
        <f t="shared" si="31"/>
        <v>ACTIVE</v>
      </c>
    </row>
    <row r="59" spans="1:20">
      <c r="A59" s="1" t="s">
        <v>20</v>
      </c>
      <c r="B59" s="1" t="s">
        <v>97</v>
      </c>
      <c r="C59" s="1" t="s">
        <v>22</v>
      </c>
      <c r="D59" s="1" t="s">
        <v>80</v>
      </c>
      <c r="E59" s="1">
        <v>14</v>
      </c>
      <c r="F59" s="1" t="str">
        <f>A59&amp;"-"&amp;B59&amp;"-"&amp;D59&amp;"("&amp;Table2[[#This Row],[Column5]]&amp;")"</f>
        <v>P4-TBSI2-M13(14)</v>
      </c>
      <c r="G59" s="1" t="s">
        <v>24</v>
      </c>
      <c r="H59" s="1"/>
      <c r="I59" s="2" t="s">
        <v>25</v>
      </c>
      <c r="J59" s="3">
        <v>31</v>
      </c>
      <c r="K59" s="2" t="s">
        <v>26</v>
      </c>
      <c r="L59" s="1" t="s">
        <v>136</v>
      </c>
      <c r="M59" s="1" t="str">
        <f>IF(Table2[[#This Row],[Need Mark]]="Y",I59&amp;"-"&amp;J59&amp;"/"&amp;F59,"-")</f>
        <v>C4S1-31/P4-TBSI2-M13(14)</v>
      </c>
      <c r="N59" s="1" t="str">
        <f>IF(Table2[[#This Row],[Need Mark]]="Y",F59&amp;"/"&amp;I59&amp;"-"&amp;J59,"-")</f>
        <v>P4-TBSI2-M13(14)/C4S1-31</v>
      </c>
      <c r="O59" s="1" t="str">
        <f>Table2[[#This Row],[Column3]]</f>
        <v>PNF-HiC2821</v>
      </c>
      <c r="P59" s="5" t="s">
        <v>118</v>
      </c>
      <c r="Q59" s="5" t="s">
        <v>137</v>
      </c>
      <c r="R59" s="5" t="s">
        <v>138</v>
      </c>
      <c r="S59" s="5" t="s">
        <v>31</v>
      </c>
      <c r="T59" s="5" t="s">
        <v>32</v>
      </c>
    </row>
    <row r="60" spans="1:20">
      <c r="A60" s="1" t="s">
        <v>20</v>
      </c>
      <c r="B60" s="1" t="s">
        <v>97</v>
      </c>
      <c r="C60" s="1" t="s">
        <v>22</v>
      </c>
      <c r="D60" s="1" t="str">
        <f t="shared" ref="D60" si="32">D59</f>
        <v>M13</v>
      </c>
      <c r="E60" s="1">
        <v>11</v>
      </c>
      <c r="F60" s="1" t="str">
        <f>A60&amp;"-"&amp;B60&amp;"-"&amp;D60&amp;"("&amp;Table2[[#This Row],[Column5]]&amp;")"</f>
        <v>P4-TBSI2-M13(11)</v>
      </c>
      <c r="G60" s="1"/>
      <c r="H60" s="1"/>
      <c r="I60" s="2" t="s">
        <v>33</v>
      </c>
      <c r="J60" s="3" t="s">
        <v>101</v>
      </c>
      <c r="K60" s="2" t="s">
        <v>35</v>
      </c>
      <c r="L60" s="1" t="s">
        <v>35</v>
      </c>
      <c r="M60" s="1" t="str">
        <f>IF(Table2[[#This Row],[Need Mark]]="Y",I60&amp;"-"&amp;J60&amp;"/"&amp;F60,"-")</f>
        <v>-</v>
      </c>
      <c r="N60" s="1" t="str">
        <f>IF(Table2[[#This Row],[Need Mark]]="Y",F60&amp;"/"&amp;I60&amp;"-"&amp;J60,"-")</f>
        <v>-</v>
      </c>
      <c r="O60" s="1" t="str">
        <f>Table2[[#This Row],[Column3]]</f>
        <v>PNF-HiC2821</v>
      </c>
      <c r="P60" s="5" t="str">
        <f>P59</f>
        <v>IS-JB-612</v>
      </c>
      <c r="Q60" s="5" t="str">
        <f t="shared" ref="Q60:T60" si="33">Q59</f>
        <v>PSE-61302_DI_1</v>
      </c>
      <c r="R60" s="5" t="str">
        <f t="shared" si="33"/>
        <v>PSE-61302</v>
      </c>
      <c r="S60" s="5" t="str">
        <f t="shared" si="33"/>
        <v>Process Instrument</v>
      </c>
      <c r="T60" s="5" t="str">
        <f t="shared" si="33"/>
        <v>ACTIVE</v>
      </c>
    </row>
    <row r="61" spans="1:20">
      <c r="A61" s="1" t="s">
        <v>20</v>
      </c>
      <c r="B61" s="1" t="s">
        <v>97</v>
      </c>
      <c r="C61" s="1" t="s">
        <v>22</v>
      </c>
      <c r="D61" s="1" t="s">
        <v>84</v>
      </c>
      <c r="E61" s="1">
        <v>14</v>
      </c>
      <c r="F61" s="1" t="str">
        <f>A61&amp;"-"&amp;B61&amp;"-"&amp;D61&amp;"("&amp;Table2[[#This Row],[Column5]]&amp;")"</f>
        <v>P4-TBSI2-M14(14)</v>
      </c>
      <c r="G61" s="1" t="s">
        <v>24</v>
      </c>
      <c r="H61" s="1"/>
      <c r="I61" s="2" t="s">
        <v>25</v>
      </c>
      <c r="J61" s="3">
        <v>32</v>
      </c>
      <c r="K61" s="2" t="s">
        <v>26</v>
      </c>
      <c r="L61" s="1" t="s">
        <v>139</v>
      </c>
      <c r="M61" s="1" t="str">
        <f>IF(Table2[[#This Row],[Need Mark]]="Y",I61&amp;"-"&amp;J61&amp;"/"&amp;F61,"-")</f>
        <v>C4S1-32/P4-TBSI2-M14(14)</v>
      </c>
      <c r="N61" s="1" t="str">
        <f>IF(Table2[[#This Row],[Need Mark]]="Y",F61&amp;"/"&amp;I61&amp;"-"&amp;J61,"-")</f>
        <v>P4-TBSI2-M14(14)/C4S1-32</v>
      </c>
      <c r="O61" s="1" t="str">
        <f>Table2[[#This Row],[Column3]]</f>
        <v>PNF-HiC2821</v>
      </c>
      <c r="P61" s="5" t="s">
        <v>118</v>
      </c>
      <c r="Q61" s="5" t="s">
        <v>140</v>
      </c>
      <c r="R61" s="5" t="s">
        <v>141</v>
      </c>
      <c r="S61" s="5" t="s">
        <v>31</v>
      </c>
      <c r="T61" s="5" t="s">
        <v>32</v>
      </c>
    </row>
    <row r="62" spans="1:20">
      <c r="A62" s="1" t="s">
        <v>20</v>
      </c>
      <c r="B62" s="1" t="s">
        <v>97</v>
      </c>
      <c r="C62" s="1" t="s">
        <v>22</v>
      </c>
      <c r="D62" s="1" t="str">
        <f t="shared" ref="D62" si="34">D61</f>
        <v>M14</v>
      </c>
      <c r="E62" s="1">
        <v>11</v>
      </c>
      <c r="F62" s="1" t="str">
        <f>A62&amp;"-"&amp;B62&amp;"-"&amp;D62&amp;"("&amp;Table2[[#This Row],[Column5]]&amp;")"</f>
        <v>P4-TBSI2-M14(11)</v>
      </c>
      <c r="G62" s="1"/>
      <c r="H62" s="1"/>
      <c r="I62" s="2" t="s">
        <v>33</v>
      </c>
      <c r="J62" s="3" t="s">
        <v>101</v>
      </c>
      <c r="K62" s="2" t="s">
        <v>35</v>
      </c>
      <c r="L62" s="1" t="s">
        <v>35</v>
      </c>
      <c r="M62" s="1" t="str">
        <f>IF(Table2[[#This Row],[Need Mark]]="Y",I62&amp;"-"&amp;J62&amp;"/"&amp;F62,"-")</f>
        <v>-</v>
      </c>
      <c r="N62" s="1" t="str">
        <f>IF(Table2[[#This Row],[Need Mark]]="Y",F62&amp;"/"&amp;I62&amp;"-"&amp;J62,"-")</f>
        <v>-</v>
      </c>
      <c r="O62" s="1" t="str">
        <f>Table2[[#This Row],[Column3]]</f>
        <v>PNF-HiC2821</v>
      </c>
      <c r="P62" s="5" t="str">
        <f>P61</f>
        <v>IS-JB-612</v>
      </c>
      <c r="Q62" s="5" t="str">
        <f t="shared" ref="Q62:T62" si="35">Q61</f>
        <v>PSE-61303_DI_1</v>
      </c>
      <c r="R62" s="5" t="str">
        <f t="shared" si="35"/>
        <v>PSE-61303</v>
      </c>
      <c r="S62" s="5" t="str">
        <f t="shared" si="35"/>
        <v>Process Instrument</v>
      </c>
      <c r="T62" s="5" t="str">
        <f t="shared" si="35"/>
        <v>ACTIVE</v>
      </c>
    </row>
    <row r="63" spans="1:20">
      <c r="A63" s="1" t="s">
        <v>20</v>
      </c>
      <c r="B63" s="1" t="s">
        <v>97</v>
      </c>
      <c r="C63" s="1" t="s">
        <v>22</v>
      </c>
      <c r="D63" s="1" t="s">
        <v>88</v>
      </c>
      <c r="E63" s="1">
        <v>14</v>
      </c>
      <c r="F63" s="1" t="str">
        <f>A63&amp;"-"&amp;B63&amp;"-"&amp;D63&amp;"("&amp;Table2[[#This Row],[Column5]]&amp;")"</f>
        <v>P4-TBSI2-M15(14)</v>
      </c>
      <c r="G63" s="1" t="s">
        <v>24</v>
      </c>
      <c r="H63" s="1"/>
      <c r="I63" s="2" t="s">
        <v>25</v>
      </c>
      <c r="J63" s="3">
        <v>33</v>
      </c>
      <c r="K63" s="2" t="s">
        <v>26</v>
      </c>
      <c r="L63" s="1" t="s">
        <v>142</v>
      </c>
      <c r="M63" s="1" t="str">
        <f>IF(Table2[[#This Row],[Need Mark]]="Y",I63&amp;"-"&amp;J63&amp;"/"&amp;F63,"-")</f>
        <v>C4S1-33/P4-TBSI2-M15(14)</v>
      </c>
      <c r="N63" s="1" t="str">
        <f>IF(Table2[[#This Row],[Need Mark]]="Y",F63&amp;"/"&amp;I63&amp;"-"&amp;J63,"-")</f>
        <v>P4-TBSI2-M15(14)/C4S1-33</v>
      </c>
      <c r="O63" s="1" t="str">
        <f>Table2[[#This Row],[Column3]]</f>
        <v>PNF-HiC2821</v>
      </c>
      <c r="P63" s="5" t="s">
        <v>118</v>
      </c>
      <c r="Q63" s="5" t="s">
        <v>143</v>
      </c>
      <c r="R63" s="5" t="s">
        <v>144</v>
      </c>
      <c r="S63" s="5" t="s">
        <v>31</v>
      </c>
      <c r="T63" s="5" t="s">
        <v>32</v>
      </c>
    </row>
    <row r="64" spans="1:20">
      <c r="A64" s="1" t="s">
        <v>20</v>
      </c>
      <c r="B64" s="1" t="s">
        <v>97</v>
      </c>
      <c r="C64" s="1" t="s">
        <v>22</v>
      </c>
      <c r="D64" s="1" t="str">
        <f t="shared" ref="D64" si="36">D63</f>
        <v>M15</v>
      </c>
      <c r="E64" s="1">
        <v>11</v>
      </c>
      <c r="F64" s="1" t="str">
        <f>A64&amp;"-"&amp;B64&amp;"-"&amp;D64&amp;"("&amp;Table2[[#This Row],[Column5]]&amp;")"</f>
        <v>P4-TBSI2-M15(11)</v>
      </c>
      <c r="G64" s="1"/>
      <c r="H64" s="1"/>
      <c r="I64" s="2" t="s">
        <v>33</v>
      </c>
      <c r="J64" s="3" t="s">
        <v>101</v>
      </c>
      <c r="K64" s="2" t="s">
        <v>35</v>
      </c>
      <c r="L64" s="1" t="s">
        <v>35</v>
      </c>
      <c r="M64" s="1" t="str">
        <f>IF(Table2[[#This Row],[Need Mark]]="Y",I64&amp;"-"&amp;J64&amp;"/"&amp;F64,"-")</f>
        <v>-</v>
      </c>
      <c r="N64" s="1" t="str">
        <f>IF(Table2[[#This Row],[Need Mark]]="Y",F64&amp;"/"&amp;I64&amp;"-"&amp;J64,"-")</f>
        <v>-</v>
      </c>
      <c r="O64" s="1" t="str">
        <f>Table2[[#This Row],[Column3]]</f>
        <v>PNF-HiC2821</v>
      </c>
      <c r="P64" s="5" t="str">
        <f>P63</f>
        <v>IS-JB-612</v>
      </c>
      <c r="Q64" s="5" t="str">
        <f t="shared" ref="Q64:T64" si="37">Q63</f>
        <v>RV-61301_DI_1</v>
      </c>
      <c r="R64" s="5" t="str">
        <f t="shared" si="37"/>
        <v>RV-61301</v>
      </c>
      <c r="S64" s="5" t="str">
        <f t="shared" si="37"/>
        <v>Process Instrument</v>
      </c>
      <c r="T64" s="5" t="str">
        <f t="shared" si="37"/>
        <v>ACTIVE</v>
      </c>
    </row>
    <row r="65" spans="1:20">
      <c r="A65" s="1" t="s">
        <v>20</v>
      </c>
      <c r="B65" s="1" t="s">
        <v>97</v>
      </c>
      <c r="C65" s="1" t="s">
        <v>22</v>
      </c>
      <c r="D65" s="1" t="s">
        <v>92</v>
      </c>
      <c r="E65" s="1">
        <v>14</v>
      </c>
      <c r="F65" s="1" t="str">
        <f>A65&amp;"-"&amp;B65&amp;"-"&amp;D65&amp;"("&amp;Table2[[#This Row],[Column5]]&amp;")"</f>
        <v>P4-TBSI2-M16(14)</v>
      </c>
      <c r="G65" s="1" t="s">
        <v>24</v>
      </c>
      <c r="H65" s="1"/>
      <c r="I65" s="2" t="s">
        <v>25</v>
      </c>
      <c r="J65" s="3">
        <v>34</v>
      </c>
      <c r="K65" s="2" t="s">
        <v>26</v>
      </c>
      <c r="L65" s="1" t="s">
        <v>145</v>
      </c>
      <c r="M65" s="1" t="str">
        <f>IF(Table2[[#This Row],[Need Mark]]="Y",I65&amp;"-"&amp;J65&amp;"/"&amp;F65,"-")</f>
        <v>C4S1-34/P4-TBSI2-M16(14)</v>
      </c>
      <c r="N65" s="1" t="str">
        <f>IF(Table2[[#This Row],[Need Mark]]="Y",F65&amp;"/"&amp;I65&amp;"-"&amp;J65,"-")</f>
        <v>P4-TBSI2-M16(14)/C4S1-34</v>
      </c>
      <c r="O65" s="1" t="str">
        <f>Table2[[#This Row],[Column3]]</f>
        <v>PNF-HiC2821</v>
      </c>
      <c r="P65" s="5" t="s">
        <v>118</v>
      </c>
      <c r="Q65" s="5" t="s">
        <v>146</v>
      </c>
      <c r="R65" s="5" t="s">
        <v>147</v>
      </c>
      <c r="S65" s="5" t="s">
        <v>31</v>
      </c>
      <c r="T65" s="5" t="s">
        <v>32</v>
      </c>
    </row>
    <row r="66" spans="1:20">
      <c r="A66" s="1" t="s">
        <v>20</v>
      </c>
      <c r="B66" s="1" t="s">
        <v>97</v>
      </c>
      <c r="C66" s="1" t="s">
        <v>22</v>
      </c>
      <c r="D66" s="1" t="str">
        <f t="shared" ref="D66" si="38">D65</f>
        <v>M16</v>
      </c>
      <c r="E66" s="1">
        <v>11</v>
      </c>
      <c r="F66" s="1" t="str">
        <f>A66&amp;"-"&amp;B66&amp;"-"&amp;D66&amp;"("&amp;Table2[[#This Row],[Column5]]&amp;")"</f>
        <v>P4-TBSI2-M16(11)</v>
      </c>
      <c r="G66" s="1"/>
      <c r="H66" s="1"/>
      <c r="I66" s="2" t="s">
        <v>33</v>
      </c>
      <c r="J66" s="3" t="s">
        <v>101</v>
      </c>
      <c r="K66" s="2" t="s">
        <v>35</v>
      </c>
      <c r="L66" s="1" t="s">
        <v>35</v>
      </c>
      <c r="M66" s="1" t="str">
        <f>IF(Table2[[#This Row],[Need Mark]]="Y",I66&amp;"-"&amp;J66&amp;"/"&amp;F66,"-")</f>
        <v>-</v>
      </c>
      <c r="N66" s="1" t="str">
        <f>IF(Table2[[#This Row],[Need Mark]]="Y",F66&amp;"/"&amp;I66&amp;"-"&amp;J66,"-")</f>
        <v>-</v>
      </c>
      <c r="O66" s="1" t="str">
        <f>Table2[[#This Row],[Column3]]</f>
        <v>PNF-HiC2821</v>
      </c>
      <c r="P66" s="5" t="str">
        <f>P65</f>
        <v>IS-JB-612</v>
      </c>
      <c r="Q66" s="5" t="str">
        <f t="shared" ref="Q66:T66" si="39">Q65</f>
        <v>RV-61304_DI_1</v>
      </c>
      <c r="R66" s="5" t="str">
        <f t="shared" si="39"/>
        <v>RV-61304</v>
      </c>
      <c r="S66" s="5" t="str">
        <f t="shared" si="39"/>
        <v>Process Instrument</v>
      </c>
      <c r="T66" s="5" t="str">
        <f t="shared" si="39"/>
        <v>ACTIVE</v>
      </c>
    </row>
    <row r="67" spans="1:20" s="8" customFormat="1">
      <c r="A67" s="6" t="s">
        <v>20</v>
      </c>
      <c r="B67" s="6" t="s">
        <v>148</v>
      </c>
      <c r="C67" s="6" t="s">
        <v>22</v>
      </c>
      <c r="D67" s="6" t="s">
        <v>23</v>
      </c>
      <c r="E67" s="6">
        <v>14</v>
      </c>
      <c r="F67" s="6" t="str">
        <f>A67&amp;"-"&amp;B67&amp;"-"&amp;D67&amp;"("&amp;Table2[[#This Row],[Column5]]&amp;")"</f>
        <v>P4-TBSI3-M1(14)</v>
      </c>
      <c r="G67" s="6" t="s">
        <v>24</v>
      </c>
      <c r="H67" s="6"/>
      <c r="I67" s="6" t="s">
        <v>149</v>
      </c>
      <c r="J67" s="7">
        <v>1</v>
      </c>
      <c r="K67" s="6" t="s">
        <v>26</v>
      </c>
      <c r="L67" s="6" t="s">
        <v>27</v>
      </c>
      <c r="M67" s="6" t="str">
        <f>IF(Table2[[#This Row],[Need Mark]]="Y",I67&amp;"-"&amp;J67&amp;"/"&amp;F67,"-")</f>
        <v>C4S2-1/P4-TBSI3-M1(14)</v>
      </c>
      <c r="N67" s="6" t="str">
        <f>IF(Table2[[#This Row],[Need Mark]]="Y",F67&amp;"/"&amp;I67&amp;"-"&amp;J67,"-")</f>
        <v>P4-TBSI3-M1(14)/C4S2-1</v>
      </c>
      <c r="O67" s="6" t="str">
        <f>Table2[[#This Row],[Column3]]</f>
        <v>PNF-HiC2821</v>
      </c>
      <c r="P67" s="8" t="s">
        <v>118</v>
      </c>
      <c r="Q67" s="8" t="s">
        <v>150</v>
      </c>
      <c r="R67" s="8" t="s">
        <v>151</v>
      </c>
      <c r="S67" s="8" t="s">
        <v>31</v>
      </c>
      <c r="T67" s="8" t="s">
        <v>32</v>
      </c>
    </row>
    <row r="68" spans="1:20" s="8" customFormat="1">
      <c r="A68" s="6" t="s">
        <v>20</v>
      </c>
      <c r="B68" s="6" t="s">
        <v>148</v>
      </c>
      <c r="C68" s="6" t="s">
        <v>22</v>
      </c>
      <c r="D68" s="6" t="str">
        <f>D67</f>
        <v>M1</v>
      </c>
      <c r="E68" s="6">
        <v>11</v>
      </c>
      <c r="F68" s="6" t="str">
        <f>A68&amp;"-"&amp;B68&amp;"-"&amp;D68&amp;"("&amp;Table2[[#This Row],[Column5]]&amp;")"</f>
        <v>P4-TBSI3-M1(11)</v>
      </c>
      <c r="G68" s="6" t="s">
        <v>24</v>
      </c>
      <c r="H68" s="6"/>
      <c r="I68" s="6" t="s">
        <v>33</v>
      </c>
      <c r="J68" s="7" t="s">
        <v>34</v>
      </c>
      <c r="K68" s="6" t="s">
        <v>35</v>
      </c>
      <c r="L68" s="6" t="s">
        <v>35</v>
      </c>
      <c r="M68" s="6" t="str">
        <f>IF(Table2[[#This Row],[Need Mark]]="Y",I68&amp;"-"&amp;J68&amp;"/"&amp;F68,"-")</f>
        <v>TB-24VDC-2(1)/P4-TBSI3-M1(11)</v>
      </c>
      <c r="N68" s="6" t="str">
        <f>IF(Table2[[#This Row],[Need Mark]]="Y",F68&amp;"/"&amp;I68&amp;"-"&amp;J68,"-")</f>
        <v>P4-TBSI3-M1(11)/TB-24VDC-2(1)</v>
      </c>
      <c r="O68" s="6" t="str">
        <f>Table2[[#This Row],[Column3]]</f>
        <v>PNF-HiC2821</v>
      </c>
      <c r="P68" s="8" t="str">
        <f>P67</f>
        <v>IS-JB-612</v>
      </c>
      <c r="Q68" s="8" t="str">
        <f t="shared" ref="Q68:T68" si="40">Q67</f>
        <v>RV-61305_DI_1</v>
      </c>
      <c r="R68" s="8" t="str">
        <f t="shared" si="40"/>
        <v>RV-61305</v>
      </c>
      <c r="S68" s="8" t="str">
        <f t="shared" si="40"/>
        <v>Process Instrument</v>
      </c>
      <c r="T68" s="8" t="str">
        <f t="shared" si="40"/>
        <v>ACTIVE</v>
      </c>
    </row>
    <row r="69" spans="1:20" s="8" customFormat="1">
      <c r="A69" s="6" t="s">
        <v>20</v>
      </c>
      <c r="B69" s="6" t="s">
        <v>148</v>
      </c>
      <c r="C69" s="6" t="s">
        <v>22</v>
      </c>
      <c r="D69" s="6" t="s">
        <v>36</v>
      </c>
      <c r="E69" s="6">
        <v>14</v>
      </c>
      <c r="F69" s="6" t="str">
        <f>A69&amp;"-"&amp;B69&amp;"-"&amp;D69&amp;"("&amp;Table2[[#This Row],[Column5]]&amp;")"</f>
        <v>P4-TBSI3-M2(14)</v>
      </c>
      <c r="G69" s="6" t="s">
        <v>24</v>
      </c>
      <c r="H69" s="6"/>
      <c r="I69" s="6" t="s">
        <v>149</v>
      </c>
      <c r="J69" s="7">
        <v>2</v>
      </c>
      <c r="K69" s="6" t="s">
        <v>26</v>
      </c>
      <c r="L69" s="6" t="s">
        <v>37</v>
      </c>
      <c r="M69" s="6" t="str">
        <f>IF(Table2[[#This Row],[Need Mark]]="Y",I69&amp;"-"&amp;J69&amp;"/"&amp;F69,"-")</f>
        <v>C4S2-2/P4-TBSI3-M2(14)</v>
      </c>
      <c r="N69" s="6" t="str">
        <f>IF(Table2[[#This Row],[Need Mark]]="Y",F69&amp;"/"&amp;I69&amp;"-"&amp;J69,"-")</f>
        <v>P4-TBSI3-M2(14)/C4S2-2</v>
      </c>
      <c r="O69" s="6" t="str">
        <f>Table2[[#This Row],[Column3]]</f>
        <v>PNF-HiC2821</v>
      </c>
      <c r="P69" s="8" t="s">
        <v>118</v>
      </c>
      <c r="Q69" s="8" t="s">
        <v>152</v>
      </c>
      <c r="R69" s="8" t="s">
        <v>153</v>
      </c>
      <c r="S69" s="8" t="s">
        <v>31</v>
      </c>
      <c r="T69" s="8" t="s">
        <v>32</v>
      </c>
    </row>
    <row r="70" spans="1:20" s="8" customFormat="1">
      <c r="A70" s="6" t="s">
        <v>20</v>
      </c>
      <c r="B70" s="6" t="s">
        <v>148</v>
      </c>
      <c r="C70" s="6" t="s">
        <v>22</v>
      </c>
      <c r="D70" s="6" t="str">
        <f t="shared" ref="D70" si="41">D69</f>
        <v>M2</v>
      </c>
      <c r="E70" s="6">
        <v>11</v>
      </c>
      <c r="F70" s="6" t="str">
        <f>A70&amp;"-"&amp;B70&amp;"-"&amp;D70&amp;"("&amp;Table2[[#This Row],[Column5]]&amp;")"</f>
        <v>P4-TBSI3-M2(11)</v>
      </c>
      <c r="G70" s="6"/>
      <c r="H70" s="6"/>
      <c r="I70" s="6" t="s">
        <v>33</v>
      </c>
      <c r="J70" s="7" t="s">
        <v>34</v>
      </c>
      <c r="K70" s="6" t="s">
        <v>35</v>
      </c>
      <c r="L70" s="6" t="s">
        <v>35</v>
      </c>
      <c r="M70" s="6" t="str">
        <f>IF(Table2[[#This Row],[Need Mark]]="Y",I70&amp;"-"&amp;J70&amp;"/"&amp;F70,"-")</f>
        <v>-</v>
      </c>
      <c r="N70" s="6" t="str">
        <f>IF(Table2[[#This Row],[Need Mark]]="Y",F70&amp;"/"&amp;I70&amp;"-"&amp;J70,"-")</f>
        <v>-</v>
      </c>
      <c r="O70" s="6" t="str">
        <f>Table2[[#This Row],[Column3]]</f>
        <v>PNF-HiC2821</v>
      </c>
      <c r="P70" s="8" t="str">
        <f>P69</f>
        <v>IS-JB-612</v>
      </c>
      <c r="Q70" s="8" t="str">
        <f t="shared" ref="Q70:T70" si="42">Q69</f>
        <v>SC-61301_DI_1</v>
      </c>
      <c r="R70" s="8" t="str">
        <f t="shared" si="42"/>
        <v>SC-61301</v>
      </c>
      <c r="S70" s="8" t="str">
        <f t="shared" si="42"/>
        <v>Process Instrument</v>
      </c>
      <c r="T70" s="8" t="str">
        <f t="shared" si="42"/>
        <v>ACTIVE</v>
      </c>
    </row>
    <row r="71" spans="1:20" s="8" customFormat="1">
      <c r="A71" s="6" t="s">
        <v>20</v>
      </c>
      <c r="B71" s="6" t="s">
        <v>148</v>
      </c>
      <c r="C71" s="6" t="s">
        <v>22</v>
      </c>
      <c r="D71" s="6" t="s">
        <v>40</v>
      </c>
      <c r="E71" s="6">
        <v>14</v>
      </c>
      <c r="F71" s="6" t="str">
        <f>A71&amp;"-"&amp;B71&amp;"-"&amp;D71&amp;"("&amp;Table2[[#This Row],[Column5]]&amp;")"</f>
        <v>P4-TBSI3-M3(14)</v>
      </c>
      <c r="G71" s="6" t="s">
        <v>24</v>
      </c>
      <c r="H71" s="6"/>
      <c r="I71" s="6" t="s">
        <v>149</v>
      </c>
      <c r="J71" s="7">
        <v>3</v>
      </c>
      <c r="K71" s="6" t="s">
        <v>26</v>
      </c>
      <c r="L71" s="6" t="s">
        <v>41</v>
      </c>
      <c r="M71" s="6" t="str">
        <f>IF(Table2[[#This Row],[Need Mark]]="Y",I71&amp;"-"&amp;J71&amp;"/"&amp;F71,"-")</f>
        <v>C4S2-3/P4-TBSI3-M3(14)</v>
      </c>
      <c r="N71" s="6" t="str">
        <f>IF(Table2[[#This Row],[Need Mark]]="Y",F71&amp;"/"&amp;I71&amp;"-"&amp;J71,"-")</f>
        <v>P4-TBSI3-M3(14)/C4S2-3</v>
      </c>
      <c r="O71" s="6" t="str">
        <f>Table2[[#This Row],[Column3]]</f>
        <v>PNF-HiC2821</v>
      </c>
      <c r="P71" s="8" t="s">
        <v>118</v>
      </c>
      <c r="Q71" s="8" t="s">
        <v>154</v>
      </c>
      <c r="R71" s="8" t="s">
        <v>155</v>
      </c>
      <c r="S71" s="8" t="s">
        <v>31</v>
      </c>
      <c r="T71" s="8" t="s">
        <v>32</v>
      </c>
    </row>
    <row r="72" spans="1:20" s="8" customFormat="1">
      <c r="A72" s="6" t="s">
        <v>20</v>
      </c>
      <c r="B72" s="6" t="s">
        <v>148</v>
      </c>
      <c r="C72" s="6" t="s">
        <v>22</v>
      </c>
      <c r="D72" s="6" t="str">
        <f t="shared" ref="D72" si="43">D71</f>
        <v>M3</v>
      </c>
      <c r="E72" s="6">
        <v>11</v>
      </c>
      <c r="F72" s="6" t="str">
        <f>A72&amp;"-"&amp;B72&amp;"-"&amp;D72&amp;"("&amp;Table2[[#This Row],[Column5]]&amp;")"</f>
        <v>P4-TBSI3-M3(11)</v>
      </c>
      <c r="G72" s="6"/>
      <c r="H72" s="6"/>
      <c r="I72" s="6" t="s">
        <v>33</v>
      </c>
      <c r="J72" s="7" t="s">
        <v>34</v>
      </c>
      <c r="K72" s="6" t="s">
        <v>35</v>
      </c>
      <c r="L72" s="6" t="s">
        <v>35</v>
      </c>
      <c r="M72" s="6" t="str">
        <f>IF(Table2[[#This Row],[Need Mark]]="Y",I72&amp;"-"&amp;J72&amp;"/"&amp;F72,"-")</f>
        <v>-</v>
      </c>
      <c r="N72" s="6" t="str">
        <f>IF(Table2[[#This Row],[Need Mark]]="Y",F72&amp;"/"&amp;I72&amp;"-"&amp;J72,"-")</f>
        <v>-</v>
      </c>
      <c r="O72" s="6" t="str">
        <f>Table2[[#This Row],[Column3]]</f>
        <v>PNF-HiC2821</v>
      </c>
      <c r="P72" s="8" t="str">
        <f>P71</f>
        <v>IS-JB-612</v>
      </c>
      <c r="Q72" s="8" t="str">
        <f t="shared" ref="Q72:T72" si="44">Q71</f>
        <v>SC-61302_DI_1</v>
      </c>
      <c r="R72" s="8" t="str">
        <f t="shared" si="44"/>
        <v>SC-61302</v>
      </c>
      <c r="S72" s="8" t="str">
        <f t="shared" si="44"/>
        <v>Process Instrument</v>
      </c>
      <c r="T72" s="8" t="str">
        <f t="shared" si="44"/>
        <v>ACTIVE</v>
      </c>
    </row>
    <row r="73" spans="1:20" s="8" customFormat="1">
      <c r="A73" s="6" t="s">
        <v>20</v>
      </c>
      <c r="B73" s="6" t="s">
        <v>148</v>
      </c>
      <c r="C73" s="6" t="s">
        <v>22</v>
      </c>
      <c r="D73" s="6" t="s">
        <v>44</v>
      </c>
      <c r="E73" s="6">
        <v>14</v>
      </c>
      <c r="F73" s="6" t="str">
        <f>A73&amp;"-"&amp;B73&amp;"-"&amp;D73&amp;"("&amp;Table2[[#This Row],[Column5]]&amp;")"</f>
        <v>P4-TBSI3-M4(14)</v>
      </c>
      <c r="G73" s="6" t="s">
        <v>24</v>
      </c>
      <c r="H73" s="6"/>
      <c r="I73" s="6" t="s">
        <v>149</v>
      </c>
      <c r="J73" s="7">
        <v>4</v>
      </c>
      <c r="K73" s="6" t="s">
        <v>26</v>
      </c>
      <c r="L73" s="6" t="s">
        <v>45</v>
      </c>
      <c r="M73" s="6" t="str">
        <f>IF(Table2[[#This Row],[Need Mark]]="Y",I73&amp;"-"&amp;J73&amp;"/"&amp;F73,"-")</f>
        <v>C4S2-4/P4-TBSI3-M4(14)</v>
      </c>
      <c r="N73" s="6" t="str">
        <f>IF(Table2[[#This Row],[Need Mark]]="Y",F73&amp;"/"&amp;I73&amp;"-"&amp;J73,"-")</f>
        <v>P4-TBSI3-M4(14)/C4S2-4</v>
      </c>
      <c r="O73" s="6" t="str">
        <f>Table2[[#This Row],[Column3]]</f>
        <v>PNF-HiC2821</v>
      </c>
      <c r="P73" s="8" t="s">
        <v>118</v>
      </c>
      <c r="Q73" s="8" t="s">
        <v>156</v>
      </c>
      <c r="R73" s="8" t="s">
        <v>157</v>
      </c>
      <c r="S73" s="8" t="s">
        <v>31</v>
      </c>
      <c r="T73" s="8" t="s">
        <v>32</v>
      </c>
    </row>
    <row r="74" spans="1:20" s="8" customFormat="1">
      <c r="A74" s="6" t="s">
        <v>20</v>
      </c>
      <c r="B74" s="6" t="s">
        <v>148</v>
      </c>
      <c r="C74" s="6" t="s">
        <v>22</v>
      </c>
      <c r="D74" s="6" t="str">
        <f t="shared" ref="D74" si="45">D73</f>
        <v>M4</v>
      </c>
      <c r="E74" s="6">
        <v>11</v>
      </c>
      <c r="F74" s="6" t="str">
        <f>A74&amp;"-"&amp;B74&amp;"-"&amp;D74&amp;"("&amp;Table2[[#This Row],[Column5]]&amp;")"</f>
        <v>P4-TBSI3-M4(11)</v>
      </c>
      <c r="G74" s="6"/>
      <c r="H74" s="6"/>
      <c r="I74" s="6" t="s">
        <v>33</v>
      </c>
      <c r="J74" s="7" t="s">
        <v>34</v>
      </c>
      <c r="K74" s="6" t="s">
        <v>35</v>
      </c>
      <c r="L74" s="6" t="s">
        <v>35</v>
      </c>
      <c r="M74" s="6" t="str">
        <f>IF(Table2[[#This Row],[Need Mark]]="Y",I74&amp;"-"&amp;J74&amp;"/"&amp;F74,"-")</f>
        <v>-</v>
      </c>
      <c r="N74" s="6" t="str">
        <f>IF(Table2[[#This Row],[Need Mark]]="Y",F74&amp;"/"&amp;I74&amp;"-"&amp;J74,"-")</f>
        <v>-</v>
      </c>
      <c r="O74" s="6" t="str">
        <f>Table2[[#This Row],[Column3]]</f>
        <v>PNF-HiC2821</v>
      </c>
      <c r="P74" s="8" t="str">
        <f>P73</f>
        <v>IS-JB-612</v>
      </c>
      <c r="Q74" s="8" t="str">
        <f t="shared" ref="Q74:T74" si="46">Q73</f>
        <v>ZS-61312_DI_1</v>
      </c>
      <c r="R74" s="8" t="str">
        <f t="shared" si="46"/>
        <v>ZS-61312</v>
      </c>
      <c r="S74" s="8" t="str">
        <f t="shared" si="46"/>
        <v>Process Instrument</v>
      </c>
      <c r="T74" s="8" t="str">
        <f t="shared" si="46"/>
        <v>ACTIVE</v>
      </c>
    </row>
    <row r="75" spans="1:20" s="8" customFormat="1">
      <c r="A75" s="6" t="s">
        <v>20</v>
      </c>
      <c r="B75" s="6" t="s">
        <v>148</v>
      </c>
      <c r="C75" s="6" t="s">
        <v>22</v>
      </c>
      <c r="D75" s="6" t="s">
        <v>48</v>
      </c>
      <c r="E75" s="6">
        <v>14</v>
      </c>
      <c r="F75" s="6" t="str">
        <f>A75&amp;"-"&amp;B75&amp;"-"&amp;D75&amp;"("&amp;Table2[[#This Row],[Column5]]&amp;")"</f>
        <v>P4-TBSI3-M5(14)</v>
      </c>
      <c r="G75" s="6" t="s">
        <v>24</v>
      </c>
      <c r="H75" s="6"/>
      <c r="I75" s="6" t="s">
        <v>149</v>
      </c>
      <c r="J75" s="7">
        <v>5</v>
      </c>
      <c r="K75" s="6" t="s">
        <v>26</v>
      </c>
      <c r="L75" s="6" t="s">
        <v>49</v>
      </c>
      <c r="M75" s="6" t="str">
        <f>IF(Table2[[#This Row],[Need Mark]]="Y",I75&amp;"-"&amp;J75&amp;"/"&amp;F75,"-")</f>
        <v>C4S2-5/P4-TBSI3-M5(14)</v>
      </c>
      <c r="N75" s="6" t="str">
        <f>IF(Table2[[#This Row],[Need Mark]]="Y",F75&amp;"/"&amp;I75&amp;"-"&amp;J75,"-")</f>
        <v>P4-TBSI3-M5(14)/C4S2-5</v>
      </c>
      <c r="O75" s="6" t="str">
        <f>Table2[[#This Row],[Column3]]</f>
        <v>PNF-HiC2821</v>
      </c>
      <c r="P75" s="8" t="s">
        <v>118</v>
      </c>
      <c r="Q75" s="8" t="s">
        <v>158</v>
      </c>
      <c r="R75" s="8" t="s">
        <v>159</v>
      </c>
      <c r="S75" s="8" t="s">
        <v>31</v>
      </c>
      <c r="T75" s="8" t="s">
        <v>32</v>
      </c>
    </row>
    <row r="76" spans="1:20" s="8" customFormat="1">
      <c r="A76" s="6" t="s">
        <v>20</v>
      </c>
      <c r="B76" s="6" t="s">
        <v>148</v>
      </c>
      <c r="C76" s="6" t="s">
        <v>22</v>
      </c>
      <c r="D76" s="6" t="str">
        <f t="shared" ref="D76" si="47">D75</f>
        <v>M5</v>
      </c>
      <c r="E76" s="6">
        <v>11</v>
      </c>
      <c r="F76" s="6" t="str">
        <f>A76&amp;"-"&amp;B76&amp;"-"&amp;D76&amp;"("&amp;Table2[[#This Row],[Column5]]&amp;")"</f>
        <v>P4-TBSI3-M5(11)</v>
      </c>
      <c r="G76" s="6"/>
      <c r="H76" s="6"/>
      <c r="I76" s="6" t="s">
        <v>33</v>
      </c>
      <c r="J76" s="7" t="s">
        <v>34</v>
      </c>
      <c r="K76" s="6" t="s">
        <v>35</v>
      </c>
      <c r="L76" s="6" t="s">
        <v>35</v>
      </c>
      <c r="M76" s="6" t="str">
        <f>IF(Table2[[#This Row],[Need Mark]]="Y",I76&amp;"-"&amp;J76&amp;"/"&amp;F76,"-")</f>
        <v>-</v>
      </c>
      <c r="N76" s="6" t="str">
        <f>IF(Table2[[#This Row],[Need Mark]]="Y",F76&amp;"/"&amp;I76&amp;"-"&amp;J76,"-")</f>
        <v>-</v>
      </c>
      <c r="O76" s="6" t="str">
        <f>Table2[[#This Row],[Column3]]</f>
        <v>PNF-HiC2821</v>
      </c>
      <c r="P76" s="8" t="str">
        <f>P75</f>
        <v>IS-JB-612</v>
      </c>
      <c r="Q76" s="8" t="str">
        <f t="shared" ref="Q76:T76" si="48">Q75</f>
        <v>ZS-61313_DI_1</v>
      </c>
      <c r="R76" s="8" t="str">
        <f t="shared" si="48"/>
        <v>ZS-61313</v>
      </c>
      <c r="S76" s="8" t="str">
        <f t="shared" si="48"/>
        <v>Process Instrument</v>
      </c>
      <c r="T76" s="8" t="str">
        <f t="shared" si="48"/>
        <v>ACTIVE</v>
      </c>
    </row>
    <row r="77" spans="1:20" s="8" customFormat="1">
      <c r="A77" s="6" t="s">
        <v>20</v>
      </c>
      <c r="B77" s="6" t="s">
        <v>148</v>
      </c>
      <c r="C77" s="6" t="s">
        <v>22</v>
      </c>
      <c r="D77" s="6" t="s">
        <v>52</v>
      </c>
      <c r="E77" s="6">
        <v>14</v>
      </c>
      <c r="F77" s="6" t="str">
        <f>A77&amp;"-"&amp;B77&amp;"-"&amp;D77&amp;"("&amp;Table2[[#This Row],[Column5]]&amp;")"</f>
        <v>P4-TBSI3-M6(14)</v>
      </c>
      <c r="G77" s="6" t="s">
        <v>24</v>
      </c>
      <c r="H77" s="6"/>
      <c r="I77" s="6" t="s">
        <v>149</v>
      </c>
      <c r="J77" s="7">
        <v>6</v>
      </c>
      <c r="K77" s="6" t="s">
        <v>26</v>
      </c>
      <c r="L77" s="6" t="s">
        <v>53</v>
      </c>
      <c r="M77" s="6" t="str">
        <f>IF(Table2[[#This Row],[Need Mark]]="Y",I77&amp;"-"&amp;J77&amp;"/"&amp;F77,"-")</f>
        <v>C4S2-6/P4-TBSI3-M6(14)</v>
      </c>
      <c r="N77" s="6" t="str">
        <f>IF(Table2[[#This Row],[Need Mark]]="Y",F77&amp;"/"&amp;I77&amp;"-"&amp;J77,"-")</f>
        <v>P4-TBSI3-M6(14)/C4S2-6</v>
      </c>
      <c r="O77" s="6" t="str">
        <f>Table2[[#This Row],[Column3]]</f>
        <v>PNF-HiC2821</v>
      </c>
    </row>
    <row r="78" spans="1:20" s="8" customFormat="1">
      <c r="A78" s="6" t="s">
        <v>20</v>
      </c>
      <c r="B78" s="6" t="s">
        <v>148</v>
      </c>
      <c r="C78" s="6" t="s">
        <v>22</v>
      </c>
      <c r="D78" s="6" t="str">
        <f t="shared" ref="D78" si="49">D77</f>
        <v>M6</v>
      </c>
      <c r="E78" s="6">
        <v>11</v>
      </c>
      <c r="F78" s="6" t="str">
        <f>A78&amp;"-"&amp;B78&amp;"-"&amp;D78&amp;"("&amp;Table2[[#This Row],[Column5]]&amp;")"</f>
        <v>P4-TBSI3-M6(11)</v>
      </c>
      <c r="G78" s="6"/>
      <c r="H78" s="6"/>
      <c r="I78" s="6" t="s">
        <v>33</v>
      </c>
      <c r="J78" s="7" t="s">
        <v>34</v>
      </c>
      <c r="K78" s="6" t="s">
        <v>35</v>
      </c>
      <c r="L78" s="6" t="s">
        <v>35</v>
      </c>
      <c r="M78" s="6" t="str">
        <f>IF(Table2[[#This Row],[Need Mark]]="Y",I78&amp;"-"&amp;J78&amp;"/"&amp;F78,"-")</f>
        <v>-</v>
      </c>
      <c r="N78" s="6" t="str">
        <f>IF(Table2[[#This Row],[Need Mark]]="Y",F78&amp;"/"&amp;I78&amp;"-"&amp;J78,"-")</f>
        <v>-</v>
      </c>
      <c r="O78" s="6" t="str">
        <f>Table2[[#This Row],[Column3]]</f>
        <v>PNF-HiC2821</v>
      </c>
    </row>
    <row r="79" spans="1:20" s="8" customFormat="1">
      <c r="A79" s="6" t="s">
        <v>20</v>
      </c>
      <c r="B79" s="6" t="s">
        <v>148</v>
      </c>
      <c r="C79" s="6" t="s">
        <v>22</v>
      </c>
      <c r="D79" s="6" t="s">
        <v>56</v>
      </c>
      <c r="E79" s="6">
        <v>14</v>
      </c>
      <c r="F79" s="6" t="str">
        <f>A79&amp;"-"&amp;B79&amp;"-"&amp;D79&amp;"("&amp;Table2[[#This Row],[Column5]]&amp;")"</f>
        <v>P4-TBSI3-M7(14)</v>
      </c>
      <c r="G79" s="6" t="s">
        <v>24</v>
      </c>
      <c r="H79" s="6"/>
      <c r="I79" s="6" t="s">
        <v>149</v>
      </c>
      <c r="J79" s="7">
        <v>7</v>
      </c>
      <c r="K79" s="6" t="s">
        <v>26</v>
      </c>
      <c r="L79" s="6" t="s">
        <v>57</v>
      </c>
      <c r="M79" s="6" t="str">
        <f>IF(Table2[[#This Row],[Need Mark]]="Y",I79&amp;"-"&amp;J79&amp;"/"&amp;F79,"-")</f>
        <v>C4S2-7/P4-TBSI3-M7(14)</v>
      </c>
      <c r="N79" s="6" t="str">
        <f>IF(Table2[[#This Row],[Need Mark]]="Y",F79&amp;"/"&amp;I79&amp;"-"&amp;J79,"-")</f>
        <v>P4-TBSI3-M7(14)/C4S2-7</v>
      </c>
      <c r="O79" s="6" t="str">
        <f>Table2[[#This Row],[Column3]]</f>
        <v>PNF-HiC2821</v>
      </c>
    </row>
    <row r="80" spans="1:20" s="8" customFormat="1">
      <c r="A80" s="6" t="s">
        <v>20</v>
      </c>
      <c r="B80" s="6" t="s">
        <v>148</v>
      </c>
      <c r="C80" s="6" t="s">
        <v>22</v>
      </c>
      <c r="D80" s="6" t="str">
        <f t="shared" ref="D80" si="50">D79</f>
        <v>M7</v>
      </c>
      <c r="E80" s="6">
        <v>11</v>
      </c>
      <c r="F80" s="6" t="str">
        <f>A80&amp;"-"&amp;B80&amp;"-"&amp;D80&amp;"("&amp;Table2[[#This Row],[Column5]]&amp;")"</f>
        <v>P4-TBSI3-M7(11)</v>
      </c>
      <c r="G80" s="6"/>
      <c r="H80" s="6"/>
      <c r="I80" s="6" t="s">
        <v>33</v>
      </c>
      <c r="J80" s="7" t="s">
        <v>34</v>
      </c>
      <c r="K80" s="6" t="s">
        <v>35</v>
      </c>
      <c r="L80" s="6" t="s">
        <v>35</v>
      </c>
      <c r="M80" s="6" t="str">
        <f>IF(Table2[[#This Row],[Need Mark]]="Y",I80&amp;"-"&amp;J80&amp;"/"&amp;F80,"-")</f>
        <v>-</v>
      </c>
      <c r="N80" s="6" t="str">
        <f>IF(Table2[[#This Row],[Need Mark]]="Y",F80&amp;"/"&amp;I80&amp;"-"&amp;J80,"-")</f>
        <v>-</v>
      </c>
      <c r="O80" s="6" t="str">
        <f>Table2[[#This Row],[Column3]]</f>
        <v>PNF-HiC2821</v>
      </c>
    </row>
    <row r="81" spans="1:15" s="8" customFormat="1">
      <c r="A81" s="6" t="s">
        <v>20</v>
      </c>
      <c r="B81" s="6" t="s">
        <v>148</v>
      </c>
      <c r="C81" s="6" t="s">
        <v>22</v>
      </c>
      <c r="D81" s="6" t="s">
        <v>60</v>
      </c>
      <c r="E81" s="6">
        <v>14</v>
      </c>
      <c r="F81" s="6" t="str">
        <f>A81&amp;"-"&amp;B81&amp;"-"&amp;D81&amp;"("&amp;Table2[[#This Row],[Column5]]&amp;")"</f>
        <v>P4-TBSI3-M8(14)</v>
      </c>
      <c r="G81" s="6" t="s">
        <v>24</v>
      </c>
      <c r="H81" s="6"/>
      <c r="I81" s="6" t="s">
        <v>149</v>
      </c>
      <c r="J81" s="7">
        <v>8</v>
      </c>
      <c r="K81" s="6" t="s">
        <v>26</v>
      </c>
      <c r="L81" s="6" t="s">
        <v>61</v>
      </c>
      <c r="M81" s="6" t="str">
        <f>IF(Table2[[#This Row],[Need Mark]]="Y",I81&amp;"-"&amp;J81&amp;"/"&amp;F81,"-")</f>
        <v>C4S2-8/P4-TBSI3-M8(14)</v>
      </c>
      <c r="N81" s="6" t="str">
        <f>IF(Table2[[#This Row],[Need Mark]]="Y",F81&amp;"/"&amp;I81&amp;"-"&amp;J81,"-")</f>
        <v>P4-TBSI3-M8(14)/C4S2-8</v>
      </c>
      <c r="O81" s="6" t="str">
        <f>Table2[[#This Row],[Column3]]</f>
        <v>PNF-HiC2821</v>
      </c>
    </row>
    <row r="82" spans="1:15" s="8" customFormat="1">
      <c r="A82" s="6" t="s">
        <v>20</v>
      </c>
      <c r="B82" s="6" t="s">
        <v>148</v>
      </c>
      <c r="C82" s="6" t="s">
        <v>22</v>
      </c>
      <c r="D82" s="6" t="str">
        <f t="shared" ref="D82" si="51">D81</f>
        <v>M8</v>
      </c>
      <c r="E82" s="6">
        <v>11</v>
      </c>
      <c r="F82" s="6" t="str">
        <f>A82&amp;"-"&amp;B82&amp;"-"&amp;D82&amp;"("&amp;Table2[[#This Row],[Column5]]&amp;")"</f>
        <v>P4-TBSI3-M8(11)</v>
      </c>
      <c r="G82" s="6"/>
      <c r="H82" s="6"/>
      <c r="I82" s="6" t="s">
        <v>33</v>
      </c>
      <c r="J82" s="7" t="s">
        <v>34</v>
      </c>
      <c r="K82" s="6" t="s">
        <v>35</v>
      </c>
      <c r="L82" s="6" t="s">
        <v>35</v>
      </c>
      <c r="M82" s="6" t="str">
        <f>IF(Table2[[#This Row],[Need Mark]]="Y",I82&amp;"-"&amp;J82&amp;"/"&amp;F82,"-")</f>
        <v>-</v>
      </c>
      <c r="N82" s="6" t="str">
        <f>IF(Table2[[#This Row],[Need Mark]]="Y",F82&amp;"/"&amp;I82&amp;"-"&amp;J82,"-")</f>
        <v>-</v>
      </c>
      <c r="O82" s="6" t="str">
        <f>Table2[[#This Row],[Column3]]</f>
        <v>PNF-HiC2821</v>
      </c>
    </row>
    <row r="83" spans="1:15" s="8" customFormat="1">
      <c r="A83" s="6" t="s">
        <v>20</v>
      </c>
      <c r="B83" s="6" t="s">
        <v>148</v>
      </c>
      <c r="C83" s="6" t="s">
        <v>22</v>
      </c>
      <c r="D83" s="6" t="s">
        <v>64</v>
      </c>
      <c r="E83" s="6">
        <v>14</v>
      </c>
      <c r="F83" s="6" t="str">
        <f>A83&amp;"-"&amp;B83&amp;"-"&amp;D83&amp;"("&amp;Table2[[#This Row],[Column5]]&amp;")"</f>
        <v>P4-TBSI3-M9(14)</v>
      </c>
      <c r="G83" s="6"/>
      <c r="H83" s="6"/>
      <c r="I83" s="6"/>
      <c r="J83" s="7"/>
      <c r="K83" s="6"/>
      <c r="L83" s="6"/>
      <c r="M83" s="6" t="str">
        <f>IF(Table2[[#This Row],[Need Mark]]="Y",I83&amp;"-"&amp;J83&amp;"/"&amp;F83,"-")</f>
        <v>-</v>
      </c>
      <c r="N83" s="6" t="str">
        <f>IF(Table2[[#This Row],[Need Mark]]="Y",F83&amp;"/"&amp;I83&amp;"-"&amp;J83,"-")</f>
        <v>-</v>
      </c>
      <c r="O83" s="6"/>
    </row>
    <row r="84" spans="1:15" s="8" customFormat="1">
      <c r="A84" s="6" t="s">
        <v>20</v>
      </c>
      <c r="B84" s="6" t="s">
        <v>148</v>
      </c>
      <c r="C84" s="6" t="s">
        <v>22</v>
      </c>
      <c r="D84" s="6" t="str">
        <f t="shared" ref="D84" si="52">D83</f>
        <v>M9</v>
      </c>
      <c r="E84" s="6">
        <v>11</v>
      </c>
      <c r="F84" s="6" t="str">
        <f>A84&amp;"-"&amp;B84&amp;"-"&amp;D84&amp;"("&amp;Table2[[#This Row],[Column5]]&amp;")"</f>
        <v>P4-TBSI3-M9(11)</v>
      </c>
      <c r="G84" s="6"/>
      <c r="H84" s="6"/>
      <c r="I84" s="6"/>
      <c r="J84" s="7"/>
      <c r="K84" s="6"/>
      <c r="L84" s="6"/>
      <c r="M84" s="6" t="str">
        <f>IF(Table2[[#This Row],[Need Mark]]="Y",I84&amp;"-"&amp;J84&amp;"/"&amp;F84,"-")</f>
        <v>-</v>
      </c>
      <c r="N84" s="6" t="str">
        <f>IF(Table2[[#This Row],[Need Mark]]="Y",F84&amp;"/"&amp;I84&amp;"-"&amp;J84,"-")</f>
        <v>-</v>
      </c>
      <c r="O84" s="6"/>
    </row>
    <row r="85" spans="1:15" s="8" customFormat="1">
      <c r="A85" s="6" t="s">
        <v>20</v>
      </c>
      <c r="B85" s="6" t="s">
        <v>148</v>
      </c>
      <c r="C85" s="6" t="s">
        <v>22</v>
      </c>
      <c r="D85" s="6" t="s">
        <v>68</v>
      </c>
      <c r="E85" s="6">
        <v>14</v>
      </c>
      <c r="F85" s="6" t="str">
        <f>A85&amp;"-"&amp;B85&amp;"-"&amp;D85&amp;"("&amp;Table2[[#This Row],[Column5]]&amp;")"</f>
        <v>P4-TBSI3-M10(14)</v>
      </c>
      <c r="G85" s="6"/>
      <c r="H85" s="6"/>
      <c r="I85" s="6"/>
      <c r="J85" s="7"/>
      <c r="K85" s="6"/>
      <c r="L85" s="6"/>
      <c r="M85" s="6" t="str">
        <f>IF(Table2[[#This Row],[Need Mark]]="Y",I85&amp;"-"&amp;J85&amp;"/"&amp;F85,"-")</f>
        <v>-</v>
      </c>
      <c r="N85" s="6" t="str">
        <f>IF(Table2[[#This Row],[Need Mark]]="Y",F85&amp;"/"&amp;I85&amp;"-"&amp;J85,"-")</f>
        <v>-</v>
      </c>
      <c r="O85" s="6"/>
    </row>
    <row r="86" spans="1:15" s="8" customFormat="1">
      <c r="A86" s="6" t="s">
        <v>20</v>
      </c>
      <c r="B86" s="6" t="s">
        <v>148</v>
      </c>
      <c r="C86" s="6" t="s">
        <v>22</v>
      </c>
      <c r="D86" s="6" t="str">
        <f t="shared" ref="D86" si="53">D85</f>
        <v>M10</v>
      </c>
      <c r="E86" s="6">
        <v>11</v>
      </c>
      <c r="F86" s="6" t="str">
        <f>A86&amp;"-"&amp;B86&amp;"-"&amp;D86&amp;"("&amp;Table2[[#This Row],[Column5]]&amp;")"</f>
        <v>P4-TBSI3-M10(11)</v>
      </c>
      <c r="G86" s="6"/>
      <c r="H86" s="6"/>
      <c r="I86" s="6"/>
      <c r="J86" s="7"/>
      <c r="K86" s="6"/>
      <c r="L86" s="6"/>
      <c r="M86" s="6" t="str">
        <f>IF(Table2[[#This Row],[Need Mark]]="Y",I86&amp;"-"&amp;J86&amp;"/"&amp;F86,"-")</f>
        <v>-</v>
      </c>
      <c r="N86" s="6" t="str">
        <f>IF(Table2[[#This Row],[Need Mark]]="Y",F86&amp;"/"&amp;I86&amp;"-"&amp;J86,"-")</f>
        <v>-</v>
      </c>
      <c r="O86" s="6"/>
    </row>
    <row r="87" spans="1:15" s="8" customFormat="1">
      <c r="A87" s="6" t="s">
        <v>20</v>
      </c>
      <c r="B87" s="6" t="s">
        <v>148</v>
      </c>
      <c r="C87" s="6" t="s">
        <v>22</v>
      </c>
      <c r="D87" s="6" t="s">
        <v>72</v>
      </c>
      <c r="E87" s="6">
        <v>14</v>
      </c>
      <c r="F87" s="6" t="str">
        <f>A87&amp;"-"&amp;B87&amp;"-"&amp;D87&amp;"("&amp;Table2[[#This Row],[Column5]]&amp;")"</f>
        <v>P4-TBSI3-M11(14)</v>
      </c>
      <c r="G87" s="6"/>
      <c r="H87" s="6"/>
      <c r="I87" s="6"/>
      <c r="J87" s="7"/>
      <c r="K87" s="6"/>
      <c r="L87" s="6"/>
      <c r="M87" s="6" t="str">
        <f>IF(Table2[[#This Row],[Need Mark]]="Y",I87&amp;"-"&amp;J87&amp;"/"&amp;F87,"-")</f>
        <v>-</v>
      </c>
      <c r="N87" s="6" t="str">
        <f>IF(Table2[[#This Row],[Need Mark]]="Y",F87&amp;"/"&amp;I87&amp;"-"&amp;J87,"-")</f>
        <v>-</v>
      </c>
      <c r="O87" s="6"/>
    </row>
    <row r="88" spans="1:15" s="8" customFormat="1">
      <c r="A88" s="6" t="s">
        <v>20</v>
      </c>
      <c r="B88" s="6" t="s">
        <v>148</v>
      </c>
      <c r="C88" s="6" t="s">
        <v>22</v>
      </c>
      <c r="D88" s="6" t="str">
        <f t="shared" ref="D88" si="54">D87</f>
        <v>M11</v>
      </c>
      <c r="E88" s="6">
        <v>11</v>
      </c>
      <c r="F88" s="6" t="str">
        <f>A88&amp;"-"&amp;B88&amp;"-"&amp;D88&amp;"("&amp;Table2[[#This Row],[Column5]]&amp;")"</f>
        <v>P4-TBSI3-M11(11)</v>
      </c>
      <c r="G88" s="6"/>
      <c r="H88" s="6"/>
      <c r="I88" s="6"/>
      <c r="J88" s="7"/>
      <c r="K88" s="6"/>
      <c r="L88" s="6"/>
      <c r="M88" s="6" t="str">
        <f>IF(Table2[[#This Row],[Need Mark]]="Y",I88&amp;"-"&amp;J88&amp;"/"&amp;F88,"-")</f>
        <v>-</v>
      </c>
      <c r="N88" s="6" t="str">
        <f>IF(Table2[[#This Row],[Need Mark]]="Y",F88&amp;"/"&amp;I88&amp;"-"&amp;J88,"-")</f>
        <v>-</v>
      </c>
      <c r="O88" s="6"/>
    </row>
    <row r="89" spans="1:15" s="8" customFormat="1">
      <c r="A89" s="6" t="s">
        <v>20</v>
      </c>
      <c r="B89" s="6" t="s">
        <v>148</v>
      </c>
      <c r="C89" s="6" t="s">
        <v>22</v>
      </c>
      <c r="D89" s="6" t="s">
        <v>76</v>
      </c>
      <c r="E89" s="6">
        <v>14</v>
      </c>
      <c r="F89" s="6" t="str">
        <f>A89&amp;"-"&amp;B89&amp;"-"&amp;D89&amp;"("&amp;Table2[[#This Row],[Column5]]&amp;")"</f>
        <v>P4-TBSI3-M12(14)</v>
      </c>
      <c r="G89" s="6"/>
      <c r="H89" s="6"/>
      <c r="I89" s="6"/>
      <c r="J89" s="7"/>
      <c r="K89" s="6"/>
      <c r="L89" s="6"/>
      <c r="M89" s="6" t="str">
        <f>IF(Table2[[#This Row],[Need Mark]]="Y",I89&amp;"-"&amp;J89&amp;"/"&amp;F89,"-")</f>
        <v>-</v>
      </c>
      <c r="N89" s="6" t="str">
        <f>IF(Table2[[#This Row],[Need Mark]]="Y",F89&amp;"/"&amp;I89&amp;"-"&amp;J89,"-")</f>
        <v>-</v>
      </c>
      <c r="O89" s="6"/>
    </row>
    <row r="90" spans="1:15" s="8" customFormat="1">
      <c r="A90" s="6" t="s">
        <v>20</v>
      </c>
      <c r="B90" s="6" t="s">
        <v>148</v>
      </c>
      <c r="C90" s="6" t="s">
        <v>22</v>
      </c>
      <c r="D90" s="6" t="str">
        <f t="shared" ref="D90" si="55">D89</f>
        <v>M12</v>
      </c>
      <c r="E90" s="6">
        <v>11</v>
      </c>
      <c r="F90" s="6" t="str">
        <f>A90&amp;"-"&amp;B90&amp;"-"&amp;D90&amp;"("&amp;Table2[[#This Row],[Column5]]&amp;")"</f>
        <v>P4-TBSI3-M12(11)</v>
      </c>
      <c r="G90" s="6"/>
      <c r="H90" s="6"/>
      <c r="I90" s="6"/>
      <c r="J90" s="7"/>
      <c r="K90" s="6"/>
      <c r="L90" s="6"/>
      <c r="M90" s="6" t="str">
        <f>IF(Table2[[#This Row],[Need Mark]]="Y",I90&amp;"-"&amp;J90&amp;"/"&amp;F90,"-")</f>
        <v>-</v>
      </c>
      <c r="N90" s="6" t="str">
        <f>IF(Table2[[#This Row],[Need Mark]]="Y",F90&amp;"/"&amp;I90&amp;"-"&amp;J90,"-")</f>
        <v>-</v>
      </c>
      <c r="O90" s="6"/>
    </row>
    <row r="91" spans="1:15" s="8" customFormat="1">
      <c r="A91" s="6" t="s">
        <v>20</v>
      </c>
      <c r="B91" s="6" t="s">
        <v>148</v>
      </c>
      <c r="C91" s="6" t="s">
        <v>22</v>
      </c>
      <c r="D91" s="6" t="s">
        <v>80</v>
      </c>
      <c r="E91" s="6">
        <v>14</v>
      </c>
      <c r="F91" s="6" t="str">
        <f>A91&amp;"-"&amp;B91&amp;"-"&amp;D91&amp;"("&amp;Table2[[#This Row],[Column5]]&amp;")"</f>
        <v>P4-TBSI3-M13(14)</v>
      </c>
      <c r="G91" s="6"/>
      <c r="H91" s="6"/>
      <c r="I91" s="6"/>
      <c r="J91" s="7"/>
      <c r="K91" s="6"/>
      <c r="L91" s="6"/>
      <c r="M91" s="6" t="str">
        <f>IF(Table2[[#This Row],[Need Mark]]="Y",I91&amp;"-"&amp;J91&amp;"/"&amp;F91,"-")</f>
        <v>-</v>
      </c>
      <c r="N91" s="6" t="str">
        <f>IF(Table2[[#This Row],[Need Mark]]="Y",F91&amp;"/"&amp;I91&amp;"-"&amp;J91,"-")</f>
        <v>-</v>
      </c>
      <c r="O91" s="6"/>
    </row>
    <row r="92" spans="1:15" s="8" customFormat="1">
      <c r="A92" s="6" t="s">
        <v>20</v>
      </c>
      <c r="B92" s="6" t="s">
        <v>148</v>
      </c>
      <c r="C92" s="6" t="s">
        <v>22</v>
      </c>
      <c r="D92" s="6" t="str">
        <f t="shared" ref="D92" si="56">D91</f>
        <v>M13</v>
      </c>
      <c r="E92" s="6">
        <v>11</v>
      </c>
      <c r="F92" s="6" t="str">
        <f>A92&amp;"-"&amp;B92&amp;"-"&amp;D92&amp;"("&amp;Table2[[#This Row],[Column5]]&amp;")"</f>
        <v>P4-TBSI3-M13(11)</v>
      </c>
      <c r="G92" s="6"/>
      <c r="H92" s="6"/>
      <c r="I92" s="6"/>
      <c r="J92" s="7"/>
      <c r="K92" s="6"/>
      <c r="L92" s="6"/>
      <c r="M92" s="6" t="str">
        <f>IF(Table2[[#This Row],[Need Mark]]="Y",I92&amp;"-"&amp;J92&amp;"/"&amp;F92,"-")</f>
        <v>-</v>
      </c>
      <c r="N92" s="6" t="str">
        <f>IF(Table2[[#This Row],[Need Mark]]="Y",F92&amp;"/"&amp;I92&amp;"-"&amp;J92,"-")</f>
        <v>-</v>
      </c>
      <c r="O92" s="6"/>
    </row>
    <row r="93" spans="1:15" s="8" customFormat="1">
      <c r="A93" s="6" t="s">
        <v>20</v>
      </c>
      <c r="B93" s="6" t="s">
        <v>148</v>
      </c>
      <c r="C93" s="6" t="s">
        <v>22</v>
      </c>
      <c r="D93" s="6" t="s">
        <v>84</v>
      </c>
      <c r="E93" s="6">
        <v>14</v>
      </c>
      <c r="F93" s="6" t="str">
        <f>A93&amp;"-"&amp;B93&amp;"-"&amp;D93&amp;"("&amp;Table2[[#This Row],[Column5]]&amp;")"</f>
        <v>P4-TBSI3-M14(14)</v>
      </c>
      <c r="G93" s="6"/>
      <c r="H93" s="6"/>
      <c r="I93" s="6"/>
      <c r="J93" s="7"/>
      <c r="K93" s="6"/>
      <c r="L93" s="6"/>
      <c r="M93" s="6" t="str">
        <f>IF(Table2[[#This Row],[Need Mark]]="Y",I93&amp;"-"&amp;J93&amp;"/"&amp;F93,"-")</f>
        <v>-</v>
      </c>
      <c r="N93" s="6" t="str">
        <f>IF(Table2[[#This Row],[Need Mark]]="Y",F93&amp;"/"&amp;I93&amp;"-"&amp;J93,"-")</f>
        <v>-</v>
      </c>
      <c r="O93" s="6"/>
    </row>
    <row r="94" spans="1:15" s="8" customFormat="1">
      <c r="A94" s="6" t="s">
        <v>20</v>
      </c>
      <c r="B94" s="6" t="s">
        <v>148</v>
      </c>
      <c r="C94" s="6" t="s">
        <v>22</v>
      </c>
      <c r="D94" s="6" t="str">
        <f t="shared" ref="D94" si="57">D93</f>
        <v>M14</v>
      </c>
      <c r="E94" s="6">
        <v>11</v>
      </c>
      <c r="F94" s="6" t="str">
        <f>A94&amp;"-"&amp;B94&amp;"-"&amp;D94&amp;"("&amp;Table2[[#This Row],[Column5]]&amp;")"</f>
        <v>P4-TBSI3-M14(11)</v>
      </c>
      <c r="G94" s="6"/>
      <c r="H94" s="6"/>
      <c r="I94" s="6"/>
      <c r="J94" s="7"/>
      <c r="K94" s="6"/>
      <c r="L94" s="6"/>
      <c r="M94" s="6" t="str">
        <f>IF(Table2[[#This Row],[Need Mark]]="Y",I94&amp;"-"&amp;J94&amp;"/"&amp;F94,"-")</f>
        <v>-</v>
      </c>
      <c r="N94" s="6" t="str">
        <f>IF(Table2[[#This Row],[Need Mark]]="Y",F94&amp;"/"&amp;I94&amp;"-"&amp;J94,"-")</f>
        <v>-</v>
      </c>
      <c r="O94" s="6"/>
    </row>
    <row r="95" spans="1:15" s="8" customFormat="1">
      <c r="A95" s="6" t="s">
        <v>20</v>
      </c>
      <c r="B95" s="6" t="s">
        <v>148</v>
      </c>
      <c r="C95" s="6" t="s">
        <v>22</v>
      </c>
      <c r="D95" s="6" t="s">
        <v>88</v>
      </c>
      <c r="E95" s="6">
        <v>14</v>
      </c>
      <c r="F95" s="6" t="str">
        <f>A95&amp;"-"&amp;B95&amp;"-"&amp;D95&amp;"("&amp;Table2[[#This Row],[Column5]]&amp;")"</f>
        <v>P4-TBSI3-M15(14)</v>
      </c>
      <c r="G95" s="6"/>
      <c r="H95" s="6"/>
      <c r="I95" s="6"/>
      <c r="J95" s="7"/>
      <c r="K95" s="6"/>
      <c r="L95" s="6"/>
      <c r="M95" s="6" t="str">
        <f>IF(Table2[[#This Row],[Need Mark]]="Y",I95&amp;"-"&amp;J95&amp;"/"&amp;F95,"-")</f>
        <v>-</v>
      </c>
      <c r="N95" s="6" t="str">
        <f>IF(Table2[[#This Row],[Need Mark]]="Y",F95&amp;"/"&amp;I95&amp;"-"&amp;J95,"-")</f>
        <v>-</v>
      </c>
      <c r="O95" s="6"/>
    </row>
    <row r="96" spans="1:15" s="8" customFormat="1">
      <c r="A96" s="6" t="s">
        <v>20</v>
      </c>
      <c r="B96" s="6" t="s">
        <v>148</v>
      </c>
      <c r="C96" s="6" t="s">
        <v>22</v>
      </c>
      <c r="D96" s="6" t="str">
        <f t="shared" ref="D96" si="58">D95</f>
        <v>M15</v>
      </c>
      <c r="E96" s="6">
        <v>11</v>
      </c>
      <c r="F96" s="6" t="str">
        <f>A96&amp;"-"&amp;B96&amp;"-"&amp;D96&amp;"("&amp;Table2[[#This Row],[Column5]]&amp;")"</f>
        <v>P4-TBSI3-M15(11)</v>
      </c>
      <c r="G96" s="6"/>
      <c r="H96" s="6"/>
      <c r="I96" s="6"/>
      <c r="J96" s="7"/>
      <c r="K96" s="6"/>
      <c r="L96" s="6"/>
      <c r="M96" s="6" t="str">
        <f>IF(Table2[[#This Row],[Need Mark]]="Y",I96&amp;"-"&amp;J96&amp;"/"&amp;F96,"-")</f>
        <v>-</v>
      </c>
      <c r="N96" s="6" t="str">
        <f>IF(Table2[[#This Row],[Need Mark]]="Y",F96&amp;"/"&amp;I96&amp;"-"&amp;J96,"-")</f>
        <v>-</v>
      </c>
      <c r="O96" s="6"/>
    </row>
    <row r="97" spans="1:24" s="8" customFormat="1">
      <c r="A97" s="6" t="s">
        <v>20</v>
      </c>
      <c r="B97" s="6" t="s">
        <v>148</v>
      </c>
      <c r="C97" s="6" t="s">
        <v>22</v>
      </c>
      <c r="D97" s="6" t="s">
        <v>92</v>
      </c>
      <c r="E97" s="6">
        <v>14</v>
      </c>
      <c r="F97" s="6" t="str">
        <f>A97&amp;"-"&amp;B97&amp;"-"&amp;D97&amp;"("&amp;Table2[[#This Row],[Column5]]&amp;")"</f>
        <v>P4-TBSI3-M16(14)</v>
      </c>
      <c r="G97" s="6"/>
      <c r="H97" s="6"/>
      <c r="I97" s="6"/>
      <c r="J97" s="7"/>
      <c r="K97" s="6"/>
      <c r="L97" s="6"/>
      <c r="M97" s="6" t="str">
        <f>IF(Table2[[#This Row],[Need Mark]]="Y",I97&amp;"-"&amp;J97&amp;"/"&amp;F97,"-")</f>
        <v>-</v>
      </c>
      <c r="N97" s="6" t="str">
        <f>IF(Table2[[#This Row],[Need Mark]]="Y",F97&amp;"/"&amp;I97&amp;"-"&amp;J97,"-")</f>
        <v>-</v>
      </c>
      <c r="O97" s="6"/>
    </row>
    <row r="98" spans="1:24" s="8" customFormat="1">
      <c r="A98" s="6" t="s">
        <v>20</v>
      </c>
      <c r="B98" s="6" t="s">
        <v>148</v>
      </c>
      <c r="C98" s="6" t="s">
        <v>22</v>
      </c>
      <c r="D98" s="6" t="str">
        <f t="shared" ref="D98" si="59">D97</f>
        <v>M16</v>
      </c>
      <c r="E98" s="6">
        <v>11</v>
      </c>
      <c r="F98" s="6" t="str">
        <f>A98&amp;"-"&amp;B98&amp;"-"&amp;D98&amp;"("&amp;Table2[[#This Row],[Column5]]&amp;")"</f>
        <v>P4-TBSI3-M16(11)</v>
      </c>
      <c r="G98" s="6"/>
      <c r="H98" s="6"/>
      <c r="I98" s="6"/>
      <c r="J98" s="7"/>
      <c r="K98" s="6"/>
      <c r="L98" s="6"/>
      <c r="M98" s="6" t="str">
        <f>IF(Table2[[#This Row],[Need Mark]]="Y",I98&amp;"-"&amp;J98&amp;"/"&amp;F98,"-")</f>
        <v>-</v>
      </c>
      <c r="N98" s="6" t="str">
        <f>IF(Table2[[#This Row],[Need Mark]]="Y",F98&amp;"/"&amp;I98&amp;"-"&amp;J98,"-")</f>
        <v>-</v>
      </c>
      <c r="O98" s="6"/>
    </row>
    <row r="99" spans="1:24">
      <c r="A99" s="1" t="s">
        <v>20</v>
      </c>
      <c r="B99" s="1" t="s">
        <v>160</v>
      </c>
      <c r="C99" s="1" t="s">
        <v>22</v>
      </c>
      <c r="D99" s="1" t="s">
        <v>23</v>
      </c>
      <c r="E99" s="1">
        <v>14</v>
      </c>
      <c r="F99" s="1" t="str">
        <f>A99&amp;"-"&amp;B99&amp;"-"&amp;D99&amp;"("&amp;Table2[[#This Row],[Column5]]&amp;")"</f>
        <v>P4-TBSI4-M1(14)</v>
      </c>
      <c r="G99" s="1" t="s">
        <v>24</v>
      </c>
      <c r="H99" s="1"/>
      <c r="I99" s="2" t="s">
        <v>161</v>
      </c>
      <c r="J99" s="9">
        <v>1</v>
      </c>
      <c r="K99" s="2" t="s">
        <v>162</v>
      </c>
      <c r="L99" s="10" t="s">
        <v>163</v>
      </c>
      <c r="M99" s="5" t="str">
        <f>IF(Table2[[#This Row],[Need Mark]]="Y",I99&amp;"-"&amp;J99&amp;"/"&amp;F99,"-")</f>
        <v>C4S5-1/P4-TBSI4-M1(14)</v>
      </c>
      <c r="N99" s="1" t="str">
        <f>IF(Table2[[#This Row],[Need Mark]]="Y",F99&amp;"/"&amp;I99&amp;"-"&amp;J99,"-")</f>
        <v>P4-TBSI4-M1(14)/C4S5-1</v>
      </c>
      <c r="O99" s="1"/>
      <c r="P99" s="5" t="s">
        <v>28</v>
      </c>
      <c r="Q99" s="5" t="s">
        <v>164</v>
      </c>
      <c r="R99" s="5" t="s">
        <v>165</v>
      </c>
    </row>
    <row r="100" spans="1:24">
      <c r="A100" s="1" t="s">
        <v>20</v>
      </c>
      <c r="B100" s="1" t="s">
        <v>160</v>
      </c>
      <c r="C100" s="1" t="s">
        <v>22</v>
      </c>
      <c r="D100" s="1" t="str">
        <f>D99</f>
        <v>M1</v>
      </c>
      <c r="E100" s="1">
        <v>11</v>
      </c>
      <c r="F100" s="1" t="str">
        <f>A100&amp;"-"&amp;B100&amp;"-"&amp;D100&amp;"("&amp;Table2[[#This Row],[Column5]]&amp;")"</f>
        <v>P4-TBSI4-M1(11)</v>
      </c>
      <c r="G100" s="1" t="s">
        <v>24</v>
      </c>
      <c r="H100" s="1"/>
      <c r="I100" s="2" t="s">
        <v>161</v>
      </c>
      <c r="J100" s="9">
        <v>2</v>
      </c>
      <c r="K100" s="2" t="s">
        <v>166</v>
      </c>
      <c r="L100" s="10" t="s">
        <v>27</v>
      </c>
      <c r="M100" s="5" t="str">
        <f>IF(Table2[[#This Row],[Need Mark]]="Y",I100&amp;"-"&amp;J100&amp;"/"&amp;F100,"-")</f>
        <v>C4S5-2/P4-TBSI4-M1(11)</v>
      </c>
      <c r="N100" s="1" t="str">
        <f>IF(Table2[[#This Row],[Need Mark]]="Y",F100&amp;"/"&amp;I100&amp;"-"&amp;J100,"-")</f>
        <v>P4-TBSI4-M1(11)/C4S5-2</v>
      </c>
      <c r="O100" s="1" t="str">
        <f>Table2[[#This Row],[Column3]]</f>
        <v>PNF-HiC2821</v>
      </c>
      <c r="P100" s="5" t="s">
        <v>28</v>
      </c>
      <c r="Q100" s="5" t="s">
        <v>164</v>
      </c>
      <c r="R100" s="5" t="s">
        <v>165</v>
      </c>
    </row>
    <row r="101" spans="1:24">
      <c r="A101" s="1" t="s">
        <v>20</v>
      </c>
      <c r="B101" s="1" t="s">
        <v>160</v>
      </c>
      <c r="C101" s="1" t="s">
        <v>22</v>
      </c>
      <c r="D101" s="1" t="s">
        <v>36</v>
      </c>
      <c r="E101" s="1">
        <v>14</v>
      </c>
      <c r="F101" s="1" t="str">
        <f>A101&amp;"-"&amp;B101&amp;"-"&amp;D101&amp;"("&amp;Table2[[#This Row],[Column5]]&amp;")"</f>
        <v>P4-TBSI4-M2(14)</v>
      </c>
      <c r="G101" s="1" t="s">
        <v>24</v>
      </c>
      <c r="H101" s="1"/>
      <c r="I101" s="2" t="s">
        <v>161</v>
      </c>
      <c r="J101" s="9">
        <v>3</v>
      </c>
      <c r="K101" s="2" t="s">
        <v>162</v>
      </c>
      <c r="L101" s="10" t="s">
        <v>167</v>
      </c>
      <c r="M101" s="5" t="str">
        <f>IF(Table2[[#This Row],[Need Mark]]="Y",I101&amp;"-"&amp;J101&amp;"/"&amp;F101,"-")</f>
        <v>C4S5-3/P4-TBSI4-M2(14)</v>
      </c>
      <c r="N101" s="1" t="str">
        <f>IF(Table2[[#This Row],[Need Mark]]="Y",F101&amp;"/"&amp;I101&amp;"-"&amp;J101,"-")</f>
        <v>P4-TBSI4-M2(14)/C4S5-3</v>
      </c>
      <c r="O101" s="1"/>
      <c r="P101" s="5" t="s">
        <v>28</v>
      </c>
      <c r="Q101" s="5" t="s">
        <v>168</v>
      </c>
      <c r="R101" s="5" t="s">
        <v>169</v>
      </c>
    </row>
    <row r="102" spans="1:24">
      <c r="A102" s="1" t="s">
        <v>20</v>
      </c>
      <c r="B102" s="1" t="s">
        <v>160</v>
      </c>
      <c r="C102" s="1" t="s">
        <v>22</v>
      </c>
      <c r="D102" s="1" t="str">
        <f t="shared" ref="D102" si="60">D101</f>
        <v>M2</v>
      </c>
      <c r="E102" s="1">
        <v>11</v>
      </c>
      <c r="F102" s="1" t="str">
        <f>A102&amp;"-"&amp;B102&amp;"-"&amp;D102&amp;"("&amp;Table2[[#This Row],[Column5]]&amp;")"</f>
        <v>P4-TBSI4-M2(11)</v>
      </c>
      <c r="G102" s="1" t="s">
        <v>24</v>
      </c>
      <c r="H102" s="1"/>
      <c r="I102" s="2" t="s">
        <v>161</v>
      </c>
      <c r="J102" s="9">
        <v>4</v>
      </c>
      <c r="K102" s="2" t="s">
        <v>166</v>
      </c>
      <c r="L102" s="10" t="s">
        <v>37</v>
      </c>
      <c r="M102" s="5" t="str">
        <f>IF(Table2[[#This Row],[Need Mark]]="Y",I102&amp;"-"&amp;J102&amp;"/"&amp;F102,"-")</f>
        <v>C4S5-4/P4-TBSI4-M2(11)</v>
      </c>
      <c r="N102" s="1" t="str">
        <f>IF(Table2[[#This Row],[Need Mark]]="Y",F102&amp;"/"&amp;I102&amp;"-"&amp;J102,"-")</f>
        <v>P4-TBSI4-M2(11)/C4S5-4</v>
      </c>
      <c r="O102" s="1" t="str">
        <f>Table2[[#This Row],[Column3]]</f>
        <v>PNF-HiC2821</v>
      </c>
      <c r="P102" s="5" t="s">
        <v>28</v>
      </c>
      <c r="Q102" s="5" t="s">
        <v>168</v>
      </c>
      <c r="R102" s="5" t="s">
        <v>169</v>
      </c>
    </row>
    <row r="103" spans="1:24">
      <c r="A103" s="1" t="s">
        <v>20</v>
      </c>
      <c r="B103" s="1" t="s">
        <v>160</v>
      </c>
      <c r="C103" s="1" t="s">
        <v>22</v>
      </c>
      <c r="D103" s="1" t="s">
        <v>40</v>
      </c>
      <c r="E103" s="1">
        <v>14</v>
      </c>
      <c r="F103" s="1" t="str">
        <f>A103&amp;"-"&amp;B103&amp;"-"&amp;D103&amp;"("&amp;Table2[[#This Row],[Column5]]&amp;")"</f>
        <v>P4-TBSI4-M3(14)</v>
      </c>
      <c r="G103" s="1" t="s">
        <v>24</v>
      </c>
      <c r="H103" s="1"/>
      <c r="I103" s="2" t="s">
        <v>161</v>
      </c>
      <c r="J103" s="9">
        <v>5</v>
      </c>
      <c r="K103" s="2" t="s">
        <v>162</v>
      </c>
      <c r="L103" s="10" t="s">
        <v>170</v>
      </c>
      <c r="M103" s="5" t="str">
        <f>IF(Table2[[#This Row],[Need Mark]]="Y",I103&amp;"-"&amp;J103&amp;"/"&amp;F103,"-")</f>
        <v>C4S5-5/P4-TBSI4-M3(14)</v>
      </c>
      <c r="N103" s="1" t="str">
        <f>IF(Table2[[#This Row],[Need Mark]]="Y",F103&amp;"/"&amp;I103&amp;"-"&amp;J103,"-")</f>
        <v>P4-TBSI4-M3(14)/C4S5-5</v>
      </c>
      <c r="O103" s="1"/>
      <c r="P103" s="5" t="s">
        <v>28</v>
      </c>
      <c r="Q103" s="5" t="s">
        <v>171</v>
      </c>
      <c r="R103" s="5" t="s">
        <v>172</v>
      </c>
    </row>
    <row r="104" spans="1:24">
      <c r="A104" s="1" t="s">
        <v>20</v>
      </c>
      <c r="B104" s="1" t="s">
        <v>160</v>
      </c>
      <c r="C104" s="1" t="s">
        <v>22</v>
      </c>
      <c r="D104" s="1" t="str">
        <f t="shared" ref="D104" si="61">D103</f>
        <v>M3</v>
      </c>
      <c r="E104" s="1">
        <v>11</v>
      </c>
      <c r="F104" s="1" t="str">
        <f>A104&amp;"-"&amp;B104&amp;"-"&amp;D104&amp;"("&amp;Table2[[#This Row],[Column5]]&amp;")"</f>
        <v>P4-TBSI4-M3(11)</v>
      </c>
      <c r="G104" s="1" t="s">
        <v>24</v>
      </c>
      <c r="H104" s="1"/>
      <c r="I104" s="2" t="s">
        <v>161</v>
      </c>
      <c r="J104" s="9">
        <v>6</v>
      </c>
      <c r="K104" s="2" t="s">
        <v>166</v>
      </c>
      <c r="L104" s="10" t="s">
        <v>41</v>
      </c>
      <c r="M104" s="5" t="str">
        <f>IF(Table2[[#This Row],[Need Mark]]="Y",I104&amp;"-"&amp;J104&amp;"/"&amp;F104,"-")</f>
        <v>C4S5-6/P4-TBSI4-M3(11)</v>
      </c>
      <c r="N104" s="1" t="str">
        <f>IF(Table2[[#This Row],[Need Mark]]="Y",F104&amp;"/"&amp;I104&amp;"-"&amp;J104,"-")</f>
        <v>P4-TBSI4-M3(11)/C4S5-6</v>
      </c>
      <c r="O104" s="1" t="str">
        <f>Table2[[#This Row],[Column3]]</f>
        <v>PNF-HiC2821</v>
      </c>
      <c r="P104" s="5" t="s">
        <v>28</v>
      </c>
      <c r="Q104" s="5" t="s">
        <v>171</v>
      </c>
      <c r="R104" s="5" t="s">
        <v>172</v>
      </c>
    </row>
    <row r="105" spans="1:24">
      <c r="A105" s="1" t="s">
        <v>20</v>
      </c>
      <c r="B105" s="1" t="s">
        <v>160</v>
      </c>
      <c r="C105" s="1" t="s">
        <v>22</v>
      </c>
      <c r="D105" s="1" t="s">
        <v>44</v>
      </c>
      <c r="E105" s="1">
        <v>14</v>
      </c>
      <c r="F105" s="1" t="str">
        <f>A105&amp;"-"&amp;B105&amp;"-"&amp;D105&amp;"("&amp;Table2[[#This Row],[Column5]]&amp;")"</f>
        <v>P4-TBSI4-M4(14)</v>
      </c>
      <c r="G105" s="1" t="s">
        <v>24</v>
      </c>
      <c r="H105" s="1"/>
      <c r="I105" s="2" t="s">
        <v>161</v>
      </c>
      <c r="J105" s="9">
        <v>7</v>
      </c>
      <c r="K105" s="2" t="s">
        <v>162</v>
      </c>
      <c r="L105" s="10" t="s">
        <v>173</v>
      </c>
      <c r="M105" s="5" t="str">
        <f>IF(Table2[[#This Row],[Need Mark]]="Y",I105&amp;"-"&amp;J105&amp;"/"&amp;F105,"-")</f>
        <v>C4S5-7/P4-TBSI4-M4(14)</v>
      </c>
      <c r="N105" s="1" t="str">
        <f>IF(Table2[[#This Row],[Need Mark]]="Y",F105&amp;"/"&amp;I105&amp;"-"&amp;J105,"-")</f>
        <v>P4-TBSI4-M4(14)/C4S5-7</v>
      </c>
      <c r="O105" s="1"/>
      <c r="P105" s="5" t="s">
        <v>28</v>
      </c>
      <c r="Q105" s="5" t="s">
        <v>174</v>
      </c>
      <c r="R105" s="5" t="s">
        <v>175</v>
      </c>
    </row>
    <row r="106" spans="1:24">
      <c r="A106" s="1" t="s">
        <v>20</v>
      </c>
      <c r="B106" s="1" t="s">
        <v>160</v>
      </c>
      <c r="C106" s="1" t="s">
        <v>22</v>
      </c>
      <c r="D106" s="1" t="str">
        <f t="shared" ref="D106" si="62">D105</f>
        <v>M4</v>
      </c>
      <c r="E106" s="1">
        <v>11</v>
      </c>
      <c r="F106" s="1" t="str">
        <f>A106&amp;"-"&amp;B106&amp;"-"&amp;D106&amp;"("&amp;Table2[[#This Row],[Column5]]&amp;")"</f>
        <v>P4-TBSI4-M4(11)</v>
      </c>
      <c r="G106" s="1" t="s">
        <v>24</v>
      </c>
      <c r="H106" s="1"/>
      <c r="I106" s="2" t="s">
        <v>161</v>
      </c>
      <c r="J106" s="9">
        <v>8</v>
      </c>
      <c r="K106" s="2" t="s">
        <v>166</v>
      </c>
      <c r="L106" s="10" t="s">
        <v>45</v>
      </c>
      <c r="M106" s="5" t="str">
        <f>IF(Table2[[#This Row],[Need Mark]]="Y",I106&amp;"-"&amp;J106&amp;"/"&amp;F106,"-")</f>
        <v>C4S5-8/P4-TBSI4-M4(11)</v>
      </c>
      <c r="N106" s="1" t="str">
        <f>IF(Table2[[#This Row],[Need Mark]]="Y",F106&amp;"/"&amp;I106&amp;"-"&amp;J106,"-")</f>
        <v>P4-TBSI4-M4(11)/C4S5-8</v>
      </c>
      <c r="O106" s="1" t="str">
        <f>Table2[[#This Row],[Column3]]</f>
        <v>PNF-HiC2821</v>
      </c>
      <c r="P106" s="5" t="s">
        <v>28</v>
      </c>
      <c r="Q106" s="5" t="s">
        <v>174</v>
      </c>
      <c r="R106" s="5" t="s">
        <v>175</v>
      </c>
    </row>
    <row r="107" spans="1:24">
      <c r="A107" s="1" t="s">
        <v>20</v>
      </c>
      <c r="B107" s="1" t="s">
        <v>160</v>
      </c>
      <c r="C107" s="1" t="s">
        <v>22</v>
      </c>
      <c r="D107" s="1" t="s">
        <v>48</v>
      </c>
      <c r="E107" s="1">
        <v>14</v>
      </c>
      <c r="F107" s="1" t="str">
        <f>A107&amp;"-"&amp;B107&amp;"-"&amp;D107&amp;"("&amp;Table2[[#This Row],[Column5]]&amp;")"</f>
        <v>P4-TBSI4-M5(14)</v>
      </c>
      <c r="G107" s="1" t="s">
        <v>24</v>
      </c>
      <c r="H107" s="1"/>
      <c r="I107" s="2" t="s">
        <v>161</v>
      </c>
      <c r="J107" s="9">
        <v>11</v>
      </c>
      <c r="K107" s="2" t="s">
        <v>162</v>
      </c>
      <c r="L107" s="10" t="s">
        <v>176</v>
      </c>
      <c r="M107" s="1" t="str">
        <f>IF(Table2[[#This Row],[Need Mark]]="Y",I107&amp;"-"&amp;J107&amp;"/"&amp;F107,"-")</f>
        <v>C4S5-11/P4-TBSI4-M5(14)</v>
      </c>
      <c r="N107" s="1" t="str">
        <f>IF(Table2[[#This Row],[Need Mark]]="Y",F107&amp;"/"&amp;I107&amp;"-"&amp;J107,"-")</f>
        <v>P4-TBSI4-M5(14)/C4S5-11</v>
      </c>
      <c r="O107" s="1"/>
      <c r="P107" s="5" t="s">
        <v>28</v>
      </c>
      <c r="Q107" s="5" t="s">
        <v>177</v>
      </c>
      <c r="R107" s="5" t="s">
        <v>178</v>
      </c>
    </row>
    <row r="108" spans="1:24">
      <c r="A108" s="1" t="s">
        <v>20</v>
      </c>
      <c r="B108" s="1" t="s">
        <v>160</v>
      </c>
      <c r="C108" s="1" t="s">
        <v>22</v>
      </c>
      <c r="D108" s="1" t="str">
        <f t="shared" ref="D108" si="63">D107</f>
        <v>M5</v>
      </c>
      <c r="E108" s="1">
        <v>11</v>
      </c>
      <c r="F108" s="1" t="str">
        <f>A108&amp;"-"&amp;B108&amp;"-"&amp;D108&amp;"("&amp;Table2[[#This Row],[Column5]]&amp;")"</f>
        <v>P4-TBSI4-M5(11)</v>
      </c>
      <c r="G108" s="1" t="s">
        <v>24</v>
      </c>
      <c r="H108" s="1"/>
      <c r="I108" s="2" t="s">
        <v>161</v>
      </c>
      <c r="J108" s="9">
        <v>12</v>
      </c>
      <c r="K108" s="2" t="s">
        <v>166</v>
      </c>
      <c r="L108" s="10" t="s">
        <v>49</v>
      </c>
      <c r="M108" s="1" t="str">
        <f>IF(Table2[[#This Row],[Need Mark]]="Y",I108&amp;"-"&amp;J108&amp;"/"&amp;F108,"-")</f>
        <v>C4S5-12/P4-TBSI4-M5(11)</v>
      </c>
      <c r="N108" s="1" t="str">
        <f>IF(Table2[[#This Row],[Need Mark]]="Y",F108&amp;"/"&amp;I108&amp;"-"&amp;J108,"-")</f>
        <v>P4-TBSI4-M5(11)/C4S5-12</v>
      </c>
      <c r="O108" s="1" t="str">
        <f>Table2[[#This Row],[Column3]]</f>
        <v>PNF-HiC2821</v>
      </c>
      <c r="P108" s="5" t="s">
        <v>28</v>
      </c>
      <c r="Q108" s="5" t="s">
        <v>177</v>
      </c>
      <c r="R108" s="5" t="s">
        <v>178</v>
      </c>
    </row>
    <row r="109" spans="1:24">
      <c r="A109" s="1" t="s">
        <v>20</v>
      </c>
      <c r="B109" s="1" t="s">
        <v>160</v>
      </c>
      <c r="C109" s="1" t="s">
        <v>22</v>
      </c>
      <c r="D109" s="1" t="s">
        <v>52</v>
      </c>
      <c r="E109" s="1">
        <v>14</v>
      </c>
      <c r="F109" s="1" t="str">
        <f>A109&amp;"-"&amp;B109&amp;"-"&amp;D109&amp;"("&amp;Table2[[#This Row],[Column5]]&amp;")"</f>
        <v>P4-TBSI4-M6(14)</v>
      </c>
      <c r="G109" s="1" t="s">
        <v>24</v>
      </c>
      <c r="H109" s="1"/>
      <c r="I109" s="2" t="s">
        <v>161</v>
      </c>
      <c r="J109" s="9">
        <v>13</v>
      </c>
      <c r="K109" s="2" t="s">
        <v>162</v>
      </c>
      <c r="L109" s="10" t="s">
        <v>179</v>
      </c>
      <c r="M109" s="1" t="str">
        <f>IF(Table2[[#This Row],[Need Mark]]="Y",I109&amp;"-"&amp;J109&amp;"/"&amp;F109,"-")</f>
        <v>C4S5-13/P4-TBSI4-M6(14)</v>
      </c>
      <c r="N109" s="1" t="str">
        <f>IF(Table2[[#This Row],[Need Mark]]="Y",F109&amp;"/"&amp;I109&amp;"-"&amp;J109,"-")</f>
        <v>P4-TBSI4-M6(14)/C4S5-13</v>
      </c>
      <c r="O109" s="1"/>
      <c r="P109" s="5" t="s">
        <v>28</v>
      </c>
      <c r="Q109" s="5" t="s">
        <v>180</v>
      </c>
      <c r="R109" s="5" t="s">
        <v>181</v>
      </c>
    </row>
    <row r="110" spans="1:24">
      <c r="A110" s="1" t="s">
        <v>20</v>
      </c>
      <c r="B110" s="1" t="s">
        <v>160</v>
      </c>
      <c r="C110" s="1" t="s">
        <v>22</v>
      </c>
      <c r="D110" s="1" t="str">
        <f t="shared" ref="D110" si="64">D109</f>
        <v>M6</v>
      </c>
      <c r="E110" s="1">
        <v>11</v>
      </c>
      <c r="F110" s="1" t="str">
        <f>A110&amp;"-"&amp;B110&amp;"-"&amp;D110&amp;"("&amp;Table2[[#This Row],[Column5]]&amp;")"</f>
        <v>P4-TBSI4-M6(11)</v>
      </c>
      <c r="G110" s="1" t="s">
        <v>24</v>
      </c>
      <c r="H110" s="1"/>
      <c r="I110" s="2" t="s">
        <v>161</v>
      </c>
      <c r="J110" s="9">
        <v>14</v>
      </c>
      <c r="K110" s="2" t="s">
        <v>166</v>
      </c>
      <c r="L110" s="10" t="s">
        <v>53</v>
      </c>
      <c r="M110" s="1" t="str">
        <f>IF(Table2[[#This Row],[Need Mark]]="Y",I110&amp;"-"&amp;J110&amp;"/"&amp;F110,"-")</f>
        <v>C4S5-14/P4-TBSI4-M6(11)</v>
      </c>
      <c r="N110" s="1" t="str">
        <f>IF(Table2[[#This Row],[Need Mark]]="Y",F110&amp;"/"&amp;I110&amp;"-"&amp;J110,"-")</f>
        <v>P4-TBSI4-M6(11)/C4S5-14</v>
      </c>
      <c r="O110" s="1" t="str">
        <f>Table2[[#This Row],[Column3]]</f>
        <v>PNF-HiC2821</v>
      </c>
      <c r="P110" s="5" t="s">
        <v>28</v>
      </c>
      <c r="Q110" s="5" t="s">
        <v>180</v>
      </c>
      <c r="R110" s="5" t="s">
        <v>181</v>
      </c>
    </row>
    <row r="111" spans="1:24">
      <c r="A111" s="1" t="s">
        <v>20</v>
      </c>
      <c r="B111" s="1" t="s">
        <v>160</v>
      </c>
      <c r="C111" s="1" t="s">
        <v>22</v>
      </c>
      <c r="D111" s="1" t="s">
        <v>56</v>
      </c>
      <c r="E111" s="1">
        <v>14</v>
      </c>
      <c r="F111" s="1" t="str">
        <f>A111&amp;"-"&amp;B111&amp;"-"&amp;D111&amp;"("&amp;Table2[[#This Row],[Column5]]&amp;")"</f>
        <v>P4-TBSI4-M7(14)</v>
      </c>
      <c r="G111" s="1" t="s">
        <v>24</v>
      </c>
      <c r="H111" s="1"/>
      <c r="I111" s="2" t="s">
        <v>161</v>
      </c>
      <c r="J111" s="9">
        <v>15</v>
      </c>
      <c r="K111" s="2" t="s">
        <v>162</v>
      </c>
      <c r="L111" s="10" t="s">
        <v>182</v>
      </c>
      <c r="M111" s="1" t="str">
        <f>IF(Table2[[#This Row],[Need Mark]]="Y",I111&amp;"-"&amp;J111&amp;"/"&amp;F111,"-")</f>
        <v>C4S5-15/P4-TBSI4-M7(14)</v>
      </c>
      <c r="N111" s="1" t="str">
        <f>IF(Table2[[#This Row],[Need Mark]]="Y",F111&amp;"/"&amp;I111&amp;"-"&amp;J111,"-")</f>
        <v>P4-TBSI4-M7(14)/C4S5-15</v>
      </c>
      <c r="O111" s="1"/>
      <c r="P111" s="5" t="s">
        <v>28</v>
      </c>
      <c r="Q111" s="5" t="s">
        <v>183</v>
      </c>
      <c r="R111" s="5" t="s">
        <v>184</v>
      </c>
      <c r="W111" t="s">
        <v>185</v>
      </c>
      <c r="X111" t="s">
        <v>186</v>
      </c>
    </row>
    <row r="112" spans="1:24">
      <c r="A112" s="1" t="s">
        <v>20</v>
      </c>
      <c r="B112" s="1" t="s">
        <v>160</v>
      </c>
      <c r="C112" s="1" t="s">
        <v>22</v>
      </c>
      <c r="D112" s="1" t="str">
        <f t="shared" ref="D112" si="65">D111</f>
        <v>M7</v>
      </c>
      <c r="E112" s="1">
        <v>11</v>
      </c>
      <c r="F112" s="1" t="str">
        <f>A112&amp;"-"&amp;B112&amp;"-"&amp;D112&amp;"("&amp;Table2[[#This Row],[Column5]]&amp;")"</f>
        <v>P4-TBSI4-M7(11)</v>
      </c>
      <c r="G112" s="1" t="s">
        <v>24</v>
      </c>
      <c r="H112" s="1"/>
      <c r="I112" s="2" t="s">
        <v>161</v>
      </c>
      <c r="J112" s="9">
        <v>16</v>
      </c>
      <c r="K112" s="2" t="s">
        <v>166</v>
      </c>
      <c r="L112" s="10" t="s">
        <v>57</v>
      </c>
      <c r="M112" s="1" t="str">
        <f>IF(Table2[[#This Row],[Need Mark]]="Y",I112&amp;"-"&amp;J112&amp;"/"&amp;F112,"-")</f>
        <v>C4S5-16/P4-TBSI4-M7(11)</v>
      </c>
      <c r="N112" s="1" t="str">
        <f>IF(Table2[[#This Row],[Need Mark]]="Y",F112&amp;"/"&amp;I112&amp;"-"&amp;J112,"-")</f>
        <v>P4-TBSI4-M7(11)/C4S5-16</v>
      </c>
      <c r="O112" s="1" t="str">
        <f>Table2[[#This Row],[Column3]]</f>
        <v>PNF-HiC2821</v>
      </c>
      <c r="P112" s="5" t="s">
        <v>28</v>
      </c>
      <c r="Q112" s="5" t="s">
        <v>183</v>
      </c>
      <c r="R112" s="5" t="s">
        <v>184</v>
      </c>
      <c r="W112" t="s">
        <v>187</v>
      </c>
      <c r="X112" t="s">
        <v>188</v>
      </c>
    </row>
    <row r="113" spans="1:24">
      <c r="A113" s="1" t="s">
        <v>20</v>
      </c>
      <c r="B113" s="1" t="s">
        <v>160</v>
      </c>
      <c r="C113" s="1" t="s">
        <v>22</v>
      </c>
      <c r="D113" s="1" t="s">
        <v>60</v>
      </c>
      <c r="E113" s="1">
        <v>14</v>
      </c>
      <c r="F113" s="1" t="str">
        <f>A113&amp;"-"&amp;B113&amp;"-"&amp;D113&amp;"("&amp;Table2[[#This Row],[Column5]]&amp;")"</f>
        <v>P4-TBSI4-M8(14)</v>
      </c>
      <c r="G113" s="1" t="s">
        <v>24</v>
      </c>
      <c r="H113" s="1"/>
      <c r="I113" s="2" t="s">
        <v>161</v>
      </c>
      <c r="J113" s="9">
        <v>17</v>
      </c>
      <c r="K113" s="2" t="s">
        <v>162</v>
      </c>
      <c r="L113" s="10" t="s">
        <v>189</v>
      </c>
      <c r="M113" s="1" t="str">
        <f>IF(Table2[[#This Row],[Need Mark]]="Y",I113&amp;"-"&amp;J113&amp;"/"&amp;F113,"-")</f>
        <v>C4S5-17/P4-TBSI4-M8(14)</v>
      </c>
      <c r="N113" s="1" t="str">
        <f>IF(Table2[[#This Row],[Need Mark]]="Y",F113&amp;"/"&amp;I113&amp;"-"&amp;J113,"-")</f>
        <v>P4-TBSI4-M8(14)/C4S5-17</v>
      </c>
      <c r="O113" s="1"/>
      <c r="P113" s="5" t="s">
        <v>94</v>
      </c>
      <c r="Q113" s="5" t="s">
        <v>190</v>
      </c>
      <c r="R113" s="5" t="s">
        <v>191</v>
      </c>
      <c r="W113" t="s">
        <v>192</v>
      </c>
      <c r="X113" t="s">
        <v>193</v>
      </c>
    </row>
    <row r="114" spans="1:24">
      <c r="A114" s="1" t="s">
        <v>20</v>
      </c>
      <c r="B114" s="1" t="s">
        <v>160</v>
      </c>
      <c r="C114" s="1" t="s">
        <v>22</v>
      </c>
      <c r="D114" s="1" t="str">
        <f t="shared" ref="D114" si="66">D113</f>
        <v>M8</v>
      </c>
      <c r="E114" s="1">
        <v>11</v>
      </c>
      <c r="F114" s="1" t="str">
        <f>A114&amp;"-"&amp;B114&amp;"-"&amp;D114&amp;"("&amp;Table2[[#This Row],[Column5]]&amp;")"</f>
        <v>P4-TBSI4-M8(11)</v>
      </c>
      <c r="G114" s="1" t="s">
        <v>24</v>
      </c>
      <c r="H114" s="1"/>
      <c r="I114" s="2" t="s">
        <v>161</v>
      </c>
      <c r="J114" s="9">
        <v>18</v>
      </c>
      <c r="K114" s="2" t="s">
        <v>166</v>
      </c>
      <c r="L114" s="10" t="s">
        <v>61</v>
      </c>
      <c r="M114" s="1" t="str">
        <f>IF(Table2[[#This Row],[Need Mark]]="Y",I114&amp;"-"&amp;J114&amp;"/"&amp;F114,"-")</f>
        <v>C4S5-18/P4-TBSI4-M8(11)</v>
      </c>
      <c r="N114" s="1" t="str">
        <f>IF(Table2[[#This Row],[Need Mark]]="Y",F114&amp;"/"&amp;I114&amp;"-"&amp;J114,"-")</f>
        <v>P4-TBSI4-M8(11)/C4S5-18</v>
      </c>
      <c r="O114" s="1" t="str">
        <f>Table2[[#This Row],[Column3]]</f>
        <v>PNF-HiC2821</v>
      </c>
      <c r="P114" s="5" t="s">
        <v>94</v>
      </c>
      <c r="Q114" s="5" t="s">
        <v>190</v>
      </c>
      <c r="R114" s="5" t="s">
        <v>191</v>
      </c>
      <c r="W114" t="s">
        <v>194</v>
      </c>
      <c r="X114" t="s">
        <v>195</v>
      </c>
    </row>
    <row r="115" spans="1:24">
      <c r="A115" s="1" t="s">
        <v>20</v>
      </c>
      <c r="B115" s="1" t="s">
        <v>160</v>
      </c>
      <c r="C115" s="1" t="s">
        <v>22</v>
      </c>
      <c r="D115" s="1" t="s">
        <v>64</v>
      </c>
      <c r="E115" s="1">
        <v>14</v>
      </c>
      <c r="F115" s="1" t="str">
        <f>A115&amp;"-"&amp;B115&amp;"-"&amp;D115&amp;"("&amp;Table2[[#This Row],[Column5]]&amp;")"</f>
        <v>P4-TBSI4-M9(14)</v>
      </c>
      <c r="G115" s="1" t="s">
        <v>24</v>
      </c>
      <c r="H115" s="1"/>
      <c r="I115" s="2" t="s">
        <v>161</v>
      </c>
      <c r="J115" s="9">
        <v>19</v>
      </c>
      <c r="K115" s="2" t="s">
        <v>162</v>
      </c>
      <c r="L115" s="10" t="s">
        <v>196</v>
      </c>
      <c r="M115" s="1" t="str">
        <f>IF(Table2[[#This Row],[Need Mark]]="Y",I115&amp;"-"&amp;J115&amp;"/"&amp;F115,"-")</f>
        <v>C4S5-19/P4-TBSI4-M9(14)</v>
      </c>
      <c r="N115" s="1" t="str">
        <f>IF(Table2[[#This Row],[Need Mark]]="Y",F115&amp;"/"&amp;I115&amp;"-"&amp;J115,"-")</f>
        <v>P4-TBSI4-M9(14)/C4S5-19</v>
      </c>
      <c r="O115" s="1"/>
      <c r="P115" s="5" t="s">
        <v>94</v>
      </c>
      <c r="Q115" s="5" t="s">
        <v>197</v>
      </c>
      <c r="R115" s="5" t="s">
        <v>198</v>
      </c>
      <c r="W115" t="s">
        <v>199</v>
      </c>
      <c r="X115" t="s">
        <v>200</v>
      </c>
    </row>
    <row r="116" spans="1:24">
      <c r="A116" s="1" t="s">
        <v>20</v>
      </c>
      <c r="B116" s="1" t="s">
        <v>160</v>
      </c>
      <c r="C116" s="1" t="s">
        <v>22</v>
      </c>
      <c r="D116" s="1" t="str">
        <f t="shared" ref="D116" si="67">D115</f>
        <v>M9</v>
      </c>
      <c r="E116" s="1">
        <v>11</v>
      </c>
      <c r="F116" s="1" t="str">
        <f>A116&amp;"-"&amp;B116&amp;"-"&amp;D116&amp;"("&amp;Table2[[#This Row],[Column5]]&amp;")"</f>
        <v>P4-TBSI4-M9(11)</v>
      </c>
      <c r="G116" s="1" t="s">
        <v>24</v>
      </c>
      <c r="H116" s="1"/>
      <c r="I116" s="2" t="s">
        <v>161</v>
      </c>
      <c r="J116" s="9">
        <v>20</v>
      </c>
      <c r="K116" s="2" t="s">
        <v>166</v>
      </c>
      <c r="L116" s="10" t="s">
        <v>65</v>
      </c>
      <c r="M116" s="1" t="str">
        <f>IF(Table2[[#This Row],[Need Mark]]="Y",I116&amp;"-"&amp;J116&amp;"/"&amp;F116,"-")</f>
        <v>C4S5-20/P4-TBSI4-M9(11)</v>
      </c>
      <c r="N116" s="1" t="str">
        <f>IF(Table2[[#This Row],[Need Mark]]="Y",F116&amp;"/"&amp;I116&amp;"-"&amp;J116,"-")</f>
        <v>P4-TBSI4-M9(11)/C4S5-20</v>
      </c>
      <c r="O116" s="1" t="str">
        <f>Table2[[#This Row],[Column3]]</f>
        <v>PNF-HiC2821</v>
      </c>
      <c r="P116" s="5" t="s">
        <v>94</v>
      </c>
      <c r="Q116" s="5" t="s">
        <v>197</v>
      </c>
      <c r="R116" s="5" t="s">
        <v>198</v>
      </c>
      <c r="W116" t="s">
        <v>201</v>
      </c>
      <c r="X116" t="s">
        <v>202</v>
      </c>
    </row>
    <row r="117" spans="1:24">
      <c r="A117" s="1" t="s">
        <v>20</v>
      </c>
      <c r="B117" s="1" t="s">
        <v>160</v>
      </c>
      <c r="C117" s="1" t="s">
        <v>22</v>
      </c>
      <c r="D117" s="1" t="s">
        <v>68</v>
      </c>
      <c r="E117" s="1">
        <v>14</v>
      </c>
      <c r="F117" s="1" t="str">
        <f>A117&amp;"-"&amp;B117&amp;"-"&amp;D117&amp;"("&amp;Table2[[#This Row],[Column5]]&amp;")"</f>
        <v>P4-TBSI4-M10(14)</v>
      </c>
      <c r="G117" s="1" t="s">
        <v>24</v>
      </c>
      <c r="H117" s="1"/>
      <c r="I117" s="2" t="s">
        <v>161</v>
      </c>
      <c r="J117" s="9">
        <v>21</v>
      </c>
      <c r="K117" s="2" t="s">
        <v>162</v>
      </c>
      <c r="L117" s="10" t="s">
        <v>203</v>
      </c>
      <c r="M117" s="1" t="str">
        <f>IF(Table2[[#This Row],[Need Mark]]="Y",I117&amp;"-"&amp;J117&amp;"/"&amp;F117,"-")</f>
        <v>C4S5-21/P4-TBSI4-M10(14)</v>
      </c>
      <c r="N117" s="1" t="str">
        <f>IF(Table2[[#This Row],[Need Mark]]="Y",F117&amp;"/"&amp;I117&amp;"-"&amp;J117,"-")</f>
        <v>P4-TBSI4-M10(14)/C4S5-21</v>
      </c>
      <c r="O117" s="1"/>
      <c r="P117" s="5" t="s">
        <v>94</v>
      </c>
      <c r="Q117" s="5" t="s">
        <v>204</v>
      </c>
      <c r="R117" s="5" t="s">
        <v>205</v>
      </c>
      <c r="W117" t="s">
        <v>206</v>
      </c>
      <c r="X117" t="s">
        <v>207</v>
      </c>
    </row>
    <row r="118" spans="1:24">
      <c r="A118" s="1" t="s">
        <v>20</v>
      </c>
      <c r="B118" s="1" t="s">
        <v>160</v>
      </c>
      <c r="C118" s="1" t="s">
        <v>22</v>
      </c>
      <c r="D118" s="1" t="str">
        <f t="shared" ref="D118" si="68">D117</f>
        <v>M10</v>
      </c>
      <c r="E118" s="1">
        <v>11</v>
      </c>
      <c r="F118" s="1" t="str">
        <f>A118&amp;"-"&amp;B118&amp;"-"&amp;D118&amp;"("&amp;Table2[[#This Row],[Column5]]&amp;")"</f>
        <v>P4-TBSI4-M10(11)</v>
      </c>
      <c r="G118" s="1" t="s">
        <v>24</v>
      </c>
      <c r="H118" s="1"/>
      <c r="I118" s="2" t="s">
        <v>161</v>
      </c>
      <c r="J118" s="9">
        <v>22</v>
      </c>
      <c r="K118" s="2" t="s">
        <v>166</v>
      </c>
      <c r="L118" s="10" t="s">
        <v>69</v>
      </c>
      <c r="M118" s="1" t="str">
        <f>IF(Table2[[#This Row],[Need Mark]]="Y",I118&amp;"-"&amp;J118&amp;"/"&amp;F118,"-")</f>
        <v>C4S5-22/P4-TBSI4-M10(11)</v>
      </c>
      <c r="N118" s="1" t="str">
        <f>IF(Table2[[#This Row],[Need Mark]]="Y",F118&amp;"/"&amp;I118&amp;"-"&amp;J118,"-")</f>
        <v>P4-TBSI4-M10(11)/C4S5-22</v>
      </c>
      <c r="O118" s="1" t="str">
        <f>Table2[[#This Row],[Column3]]</f>
        <v>PNF-HiC2821</v>
      </c>
      <c r="P118" s="5" t="s">
        <v>94</v>
      </c>
      <c r="Q118" s="5" t="s">
        <v>204</v>
      </c>
      <c r="R118" s="5" t="s">
        <v>205</v>
      </c>
      <c r="W118" t="s">
        <v>208</v>
      </c>
      <c r="X118" t="s">
        <v>209</v>
      </c>
    </row>
    <row r="119" spans="1:24">
      <c r="A119" s="1" t="s">
        <v>20</v>
      </c>
      <c r="B119" s="1" t="s">
        <v>160</v>
      </c>
      <c r="C119" s="1" t="s">
        <v>22</v>
      </c>
      <c r="D119" s="1" t="s">
        <v>72</v>
      </c>
      <c r="E119" s="1">
        <v>14</v>
      </c>
      <c r="F119" s="1" t="str">
        <f>A119&amp;"-"&amp;B119&amp;"-"&amp;D119&amp;"("&amp;Table2[[#This Row],[Column5]]&amp;")"</f>
        <v>P4-TBSI4-M11(14)</v>
      </c>
      <c r="G119" s="1" t="s">
        <v>24</v>
      </c>
      <c r="H119" s="1"/>
      <c r="I119" s="2" t="s">
        <v>161</v>
      </c>
      <c r="J119" s="9">
        <v>23</v>
      </c>
      <c r="K119" s="2" t="s">
        <v>162</v>
      </c>
      <c r="L119" s="10" t="s">
        <v>210</v>
      </c>
      <c r="M119" s="1" t="str">
        <f>IF(Table2[[#This Row],[Need Mark]]="Y",I119&amp;"-"&amp;J119&amp;"/"&amp;F119,"-")</f>
        <v>C4S5-23/P4-TBSI4-M11(14)</v>
      </c>
      <c r="N119" s="1" t="str">
        <f>IF(Table2[[#This Row],[Need Mark]]="Y",F119&amp;"/"&amp;I119&amp;"-"&amp;J119,"-")</f>
        <v>P4-TBSI4-M11(14)/C4S5-23</v>
      </c>
      <c r="O119" s="1"/>
      <c r="P119" s="5" t="s">
        <v>94</v>
      </c>
      <c r="Q119" s="5" t="s">
        <v>211</v>
      </c>
      <c r="R119" s="5" t="s">
        <v>212</v>
      </c>
      <c r="W119" t="s">
        <v>213</v>
      </c>
      <c r="X119" t="s">
        <v>214</v>
      </c>
    </row>
    <row r="120" spans="1:24">
      <c r="A120" s="1" t="s">
        <v>20</v>
      </c>
      <c r="B120" s="1" t="s">
        <v>160</v>
      </c>
      <c r="C120" s="1" t="s">
        <v>22</v>
      </c>
      <c r="D120" s="1" t="str">
        <f t="shared" ref="D120" si="69">D119</f>
        <v>M11</v>
      </c>
      <c r="E120" s="1">
        <v>11</v>
      </c>
      <c r="F120" s="1" t="str">
        <f>A120&amp;"-"&amp;B120&amp;"-"&amp;D120&amp;"("&amp;Table2[[#This Row],[Column5]]&amp;")"</f>
        <v>P4-TBSI4-M11(11)</v>
      </c>
      <c r="G120" s="1" t="s">
        <v>24</v>
      </c>
      <c r="H120" s="1"/>
      <c r="I120" s="2" t="s">
        <v>161</v>
      </c>
      <c r="J120" s="9">
        <v>24</v>
      </c>
      <c r="K120" s="2" t="s">
        <v>166</v>
      </c>
      <c r="L120" s="10" t="s">
        <v>73</v>
      </c>
      <c r="M120" s="1" t="str">
        <f>IF(Table2[[#This Row],[Need Mark]]="Y",I120&amp;"-"&amp;J120&amp;"/"&amp;F120,"-")</f>
        <v>C4S5-24/P4-TBSI4-M11(11)</v>
      </c>
      <c r="N120" s="1" t="str">
        <f>IF(Table2[[#This Row],[Need Mark]]="Y",F120&amp;"/"&amp;I120&amp;"-"&amp;J120,"-")</f>
        <v>P4-TBSI4-M11(11)/C4S5-24</v>
      </c>
      <c r="O120" s="1" t="str">
        <f>Table2[[#This Row],[Column3]]</f>
        <v>PNF-HiC2821</v>
      </c>
      <c r="P120" s="5" t="s">
        <v>94</v>
      </c>
      <c r="Q120" s="5" t="s">
        <v>211</v>
      </c>
      <c r="R120" s="5" t="s">
        <v>212</v>
      </c>
      <c r="W120" t="s">
        <v>215</v>
      </c>
      <c r="X120" t="s">
        <v>216</v>
      </c>
    </row>
    <row r="121" spans="1:24">
      <c r="A121" s="1" t="s">
        <v>20</v>
      </c>
      <c r="B121" s="1" t="s">
        <v>160</v>
      </c>
      <c r="C121" s="1" t="s">
        <v>22</v>
      </c>
      <c r="D121" s="1" t="s">
        <v>76</v>
      </c>
      <c r="E121" s="1">
        <v>14</v>
      </c>
      <c r="F121" s="1" t="str">
        <f>A121&amp;"-"&amp;B121&amp;"-"&amp;D121&amp;"("&amp;Table2[[#This Row],[Column5]]&amp;")"</f>
        <v>P4-TBSI4-M12(14)</v>
      </c>
      <c r="G121" s="1" t="s">
        <v>24</v>
      </c>
      <c r="H121" s="1"/>
      <c r="I121" s="2" t="s">
        <v>161</v>
      </c>
      <c r="J121" s="9">
        <v>25</v>
      </c>
      <c r="K121" s="2" t="s">
        <v>162</v>
      </c>
      <c r="L121" s="10" t="s">
        <v>217</v>
      </c>
      <c r="M121" s="1" t="str">
        <f>IF(Table2[[#This Row],[Need Mark]]="Y",I121&amp;"-"&amp;J121&amp;"/"&amp;F121,"-")</f>
        <v>C4S5-25/P4-TBSI4-M12(14)</v>
      </c>
      <c r="N121" s="1" t="str">
        <f>IF(Table2[[#This Row],[Need Mark]]="Y",F121&amp;"/"&amp;I121&amp;"-"&amp;J121,"-")</f>
        <v>P4-TBSI4-M12(14)/C4S5-25</v>
      </c>
      <c r="O121" s="1"/>
      <c r="P121" s="5" t="s">
        <v>94</v>
      </c>
      <c r="Q121" s="5" t="s">
        <v>218</v>
      </c>
      <c r="R121" s="5" t="s">
        <v>219</v>
      </c>
      <c r="W121" t="s">
        <v>220</v>
      </c>
      <c r="X121" t="s">
        <v>221</v>
      </c>
    </row>
    <row r="122" spans="1:24">
      <c r="A122" s="1" t="s">
        <v>20</v>
      </c>
      <c r="B122" s="1" t="s">
        <v>160</v>
      </c>
      <c r="C122" s="1" t="s">
        <v>22</v>
      </c>
      <c r="D122" s="1" t="str">
        <f t="shared" ref="D122" si="70">D121</f>
        <v>M12</v>
      </c>
      <c r="E122" s="1">
        <v>11</v>
      </c>
      <c r="F122" s="1" t="str">
        <f>A122&amp;"-"&amp;B122&amp;"-"&amp;D122&amp;"("&amp;Table2[[#This Row],[Column5]]&amp;")"</f>
        <v>P4-TBSI4-M12(11)</v>
      </c>
      <c r="G122" s="1" t="s">
        <v>24</v>
      </c>
      <c r="H122" s="1"/>
      <c r="I122" s="2" t="s">
        <v>161</v>
      </c>
      <c r="J122" s="9">
        <v>26</v>
      </c>
      <c r="K122" s="2" t="s">
        <v>166</v>
      </c>
      <c r="L122" s="10" t="s">
        <v>77</v>
      </c>
      <c r="M122" s="1" t="str">
        <f>IF(Table2[[#This Row],[Need Mark]]="Y",I122&amp;"-"&amp;J122&amp;"/"&amp;F122,"-")</f>
        <v>C4S5-26/P4-TBSI4-M12(11)</v>
      </c>
      <c r="N122" s="1" t="str">
        <f>IF(Table2[[#This Row],[Need Mark]]="Y",F122&amp;"/"&amp;I122&amp;"-"&amp;J122,"-")</f>
        <v>P4-TBSI4-M12(11)/C4S5-26</v>
      </c>
      <c r="O122" s="1" t="str">
        <f>Table2[[#This Row],[Column3]]</f>
        <v>PNF-HiC2821</v>
      </c>
      <c r="P122" s="5" t="s">
        <v>94</v>
      </c>
      <c r="Q122" s="5" t="s">
        <v>218</v>
      </c>
      <c r="R122" s="5" t="s">
        <v>219</v>
      </c>
      <c r="W122" t="s">
        <v>222</v>
      </c>
      <c r="X122" t="s">
        <v>223</v>
      </c>
    </row>
    <row r="123" spans="1:24">
      <c r="A123" s="1" t="s">
        <v>20</v>
      </c>
      <c r="B123" s="1" t="s">
        <v>160</v>
      </c>
      <c r="C123" s="1" t="s">
        <v>22</v>
      </c>
      <c r="D123" s="1" t="s">
        <v>80</v>
      </c>
      <c r="E123" s="1">
        <v>14</v>
      </c>
      <c r="F123" s="1" t="str">
        <f>A123&amp;"-"&amp;B123&amp;"-"&amp;D123&amp;"("&amp;Table2[[#This Row],[Column5]]&amp;")"</f>
        <v>P4-TBSI4-M13(14)</v>
      </c>
      <c r="G123" s="1" t="s">
        <v>24</v>
      </c>
      <c r="H123" s="1"/>
      <c r="I123" s="2" t="s">
        <v>161</v>
      </c>
      <c r="J123" s="9">
        <v>29</v>
      </c>
      <c r="K123" s="2" t="s">
        <v>162</v>
      </c>
      <c r="L123" s="10" t="s">
        <v>224</v>
      </c>
      <c r="M123" s="1" t="str">
        <f>IF(Table2[[#This Row],[Need Mark]]="Y",I123&amp;"-"&amp;J123&amp;"/"&amp;F123,"-")</f>
        <v>C4S5-29/P4-TBSI4-M13(14)</v>
      </c>
      <c r="N123" s="1" t="str">
        <f>IF(Table2[[#This Row],[Need Mark]]="Y",F123&amp;"/"&amp;I123&amp;"-"&amp;J123,"-")</f>
        <v>P4-TBSI4-M13(14)/C4S5-29</v>
      </c>
      <c r="O123" s="1"/>
      <c r="P123" s="5" t="s">
        <v>94</v>
      </c>
      <c r="Q123" s="5" t="s">
        <v>225</v>
      </c>
      <c r="R123" s="5" t="s">
        <v>226</v>
      </c>
      <c r="W123" t="s">
        <v>227</v>
      </c>
      <c r="X123" t="s">
        <v>228</v>
      </c>
    </row>
    <row r="124" spans="1:24">
      <c r="A124" s="1" t="s">
        <v>20</v>
      </c>
      <c r="B124" s="1" t="s">
        <v>160</v>
      </c>
      <c r="C124" s="1" t="s">
        <v>22</v>
      </c>
      <c r="D124" s="1" t="str">
        <f t="shared" ref="D124" si="71">D123</f>
        <v>M13</v>
      </c>
      <c r="E124" s="1">
        <v>11</v>
      </c>
      <c r="F124" s="1" t="str">
        <f>A124&amp;"-"&amp;B124&amp;"-"&amp;D124&amp;"("&amp;Table2[[#This Row],[Column5]]&amp;")"</f>
        <v>P4-TBSI4-M13(11)</v>
      </c>
      <c r="G124" s="1" t="s">
        <v>24</v>
      </c>
      <c r="H124" s="1"/>
      <c r="I124" s="2" t="s">
        <v>161</v>
      </c>
      <c r="J124" s="9">
        <v>30</v>
      </c>
      <c r="K124" s="2" t="s">
        <v>166</v>
      </c>
      <c r="L124" s="10" t="s">
        <v>81</v>
      </c>
      <c r="M124" s="1" t="str">
        <f>IF(Table2[[#This Row],[Need Mark]]="Y",I124&amp;"-"&amp;J124&amp;"/"&amp;F124,"-")</f>
        <v>C4S5-30/P4-TBSI4-M13(11)</v>
      </c>
      <c r="N124" s="1" t="str">
        <f>IF(Table2[[#This Row],[Need Mark]]="Y",F124&amp;"/"&amp;I124&amp;"-"&amp;J124,"-")</f>
        <v>P4-TBSI4-M13(11)/C4S5-30</v>
      </c>
      <c r="O124" s="1" t="str">
        <f>Table2[[#This Row],[Column3]]</f>
        <v>PNF-HiC2821</v>
      </c>
      <c r="P124" s="5" t="s">
        <v>94</v>
      </c>
      <c r="Q124" s="5" t="s">
        <v>225</v>
      </c>
      <c r="R124" s="5" t="s">
        <v>226</v>
      </c>
      <c r="W124" t="s">
        <v>229</v>
      </c>
      <c r="X124" t="s">
        <v>230</v>
      </c>
    </row>
    <row r="125" spans="1:24">
      <c r="A125" s="1" t="s">
        <v>20</v>
      </c>
      <c r="B125" s="1" t="s">
        <v>160</v>
      </c>
      <c r="C125" s="1" t="s">
        <v>22</v>
      </c>
      <c r="D125" s="1" t="s">
        <v>84</v>
      </c>
      <c r="E125" s="1">
        <v>14</v>
      </c>
      <c r="F125" s="1" t="str">
        <f>A125&amp;"-"&amp;B125&amp;"-"&amp;D125&amp;"("&amp;Table2[[#This Row],[Column5]]&amp;")"</f>
        <v>P4-TBSI4-M14(14)</v>
      </c>
      <c r="G125" s="1" t="s">
        <v>24</v>
      </c>
      <c r="H125" s="1"/>
      <c r="I125" s="2" t="s">
        <v>161</v>
      </c>
      <c r="J125" s="9">
        <v>31</v>
      </c>
      <c r="K125" s="2" t="s">
        <v>162</v>
      </c>
      <c r="L125" s="10" t="s">
        <v>231</v>
      </c>
      <c r="M125" s="1" t="str">
        <f>IF(Table2[[#This Row],[Need Mark]]="Y",I125&amp;"-"&amp;J125&amp;"/"&amp;F125,"-")</f>
        <v>C4S5-31/P4-TBSI4-M14(14)</v>
      </c>
      <c r="N125" s="1" t="str">
        <f>IF(Table2[[#This Row],[Need Mark]]="Y",F125&amp;"/"&amp;I125&amp;"-"&amp;J125,"-")</f>
        <v>P4-TBSI4-M14(14)/C4S5-31</v>
      </c>
      <c r="O125" s="1"/>
      <c r="P125" s="10" t="s">
        <v>118</v>
      </c>
      <c r="Q125" s="10" t="s">
        <v>232</v>
      </c>
      <c r="R125" s="10" t="s">
        <v>233</v>
      </c>
      <c r="W125" t="s">
        <v>234</v>
      </c>
      <c r="X125" t="s">
        <v>235</v>
      </c>
    </row>
    <row r="126" spans="1:24">
      <c r="A126" s="1" t="s">
        <v>20</v>
      </c>
      <c r="B126" s="1" t="s">
        <v>160</v>
      </c>
      <c r="C126" s="1" t="s">
        <v>22</v>
      </c>
      <c r="D126" s="1" t="str">
        <f t="shared" ref="D126" si="72">D125</f>
        <v>M14</v>
      </c>
      <c r="E126" s="1">
        <v>11</v>
      </c>
      <c r="F126" s="1" t="str">
        <f>A126&amp;"-"&amp;B126&amp;"-"&amp;D126&amp;"("&amp;Table2[[#This Row],[Column5]]&amp;")"</f>
        <v>P4-TBSI4-M14(11)</v>
      </c>
      <c r="G126" s="1" t="s">
        <v>24</v>
      </c>
      <c r="H126" s="1"/>
      <c r="I126" s="2" t="s">
        <v>161</v>
      </c>
      <c r="J126" s="9">
        <v>32</v>
      </c>
      <c r="K126" s="2" t="s">
        <v>166</v>
      </c>
      <c r="L126" s="10" t="s">
        <v>85</v>
      </c>
      <c r="M126" s="1" t="str">
        <f>IF(Table2[[#This Row],[Need Mark]]="Y",I126&amp;"-"&amp;J126&amp;"/"&amp;F126,"-")</f>
        <v>C4S5-32/P4-TBSI4-M14(11)</v>
      </c>
      <c r="N126" s="1" t="str">
        <f>IF(Table2[[#This Row],[Need Mark]]="Y",F126&amp;"/"&amp;I126&amp;"-"&amp;J126,"-")</f>
        <v>P4-TBSI4-M14(11)/C4S5-32</v>
      </c>
      <c r="O126" s="1" t="str">
        <f>Table2[[#This Row],[Column3]]</f>
        <v>PNF-HiC2821</v>
      </c>
      <c r="P126" s="10" t="s">
        <v>118</v>
      </c>
      <c r="Q126" s="10" t="s">
        <v>232</v>
      </c>
      <c r="R126" s="10" t="s">
        <v>233</v>
      </c>
      <c r="W126" t="s">
        <v>236</v>
      </c>
      <c r="X126" t="s">
        <v>237</v>
      </c>
    </row>
    <row r="127" spans="1:24">
      <c r="A127" s="1" t="s">
        <v>20</v>
      </c>
      <c r="B127" s="1" t="s">
        <v>160</v>
      </c>
      <c r="C127" s="1" t="s">
        <v>22</v>
      </c>
      <c r="D127" s="1" t="s">
        <v>88</v>
      </c>
      <c r="E127" s="1">
        <v>14</v>
      </c>
      <c r="F127" s="1" t="str">
        <f>A127&amp;"-"&amp;B127&amp;"-"&amp;D127&amp;"("&amp;Table2[[#This Row],[Column5]]&amp;")"</f>
        <v>P4-TBSI4-M15(14)</v>
      </c>
      <c r="G127" s="1" t="s">
        <v>24</v>
      </c>
      <c r="H127" s="1"/>
      <c r="I127" s="2" t="s">
        <v>161</v>
      </c>
      <c r="J127" s="9">
        <v>33</v>
      </c>
      <c r="K127" s="2" t="s">
        <v>162</v>
      </c>
      <c r="L127" s="10" t="s">
        <v>238</v>
      </c>
      <c r="M127" s="1" t="str">
        <f>IF(Table2[[#This Row],[Need Mark]]="Y",I127&amp;"-"&amp;J127&amp;"/"&amp;F127,"-")</f>
        <v>C4S5-33/P4-TBSI4-M15(14)</v>
      </c>
      <c r="N127" s="1" t="str">
        <f>IF(Table2[[#This Row],[Need Mark]]="Y",F127&amp;"/"&amp;I127&amp;"-"&amp;J127,"-")</f>
        <v>P4-TBSI4-M15(14)/C4S5-33</v>
      </c>
      <c r="O127" s="1"/>
      <c r="P127" s="10" t="s">
        <v>118</v>
      </c>
      <c r="Q127" s="10" t="s">
        <v>239</v>
      </c>
      <c r="R127" s="10" t="s">
        <v>240</v>
      </c>
      <c r="W127" t="s">
        <v>241</v>
      </c>
      <c r="X127" t="s">
        <v>242</v>
      </c>
    </row>
    <row r="128" spans="1:24">
      <c r="A128" s="1" t="s">
        <v>20</v>
      </c>
      <c r="B128" s="1" t="s">
        <v>160</v>
      </c>
      <c r="C128" s="1" t="s">
        <v>22</v>
      </c>
      <c r="D128" s="1" t="str">
        <f t="shared" ref="D128" si="73">D127</f>
        <v>M15</v>
      </c>
      <c r="E128" s="1">
        <v>11</v>
      </c>
      <c r="F128" s="1" t="str">
        <f>A128&amp;"-"&amp;B128&amp;"-"&amp;D128&amp;"("&amp;Table2[[#This Row],[Column5]]&amp;")"</f>
        <v>P4-TBSI4-M15(11)</v>
      </c>
      <c r="G128" s="1" t="s">
        <v>24</v>
      </c>
      <c r="H128" s="1"/>
      <c r="I128" s="2" t="s">
        <v>161</v>
      </c>
      <c r="J128" s="9">
        <v>34</v>
      </c>
      <c r="K128" s="2" t="s">
        <v>166</v>
      </c>
      <c r="L128" s="10" t="s">
        <v>89</v>
      </c>
      <c r="M128" s="1" t="str">
        <f>IF(Table2[[#This Row],[Need Mark]]="Y",I128&amp;"-"&amp;J128&amp;"/"&amp;F128,"-")</f>
        <v>C4S5-34/P4-TBSI4-M15(11)</v>
      </c>
      <c r="N128" s="1" t="str">
        <f>IF(Table2[[#This Row],[Need Mark]]="Y",F128&amp;"/"&amp;I128&amp;"-"&amp;J128,"-")</f>
        <v>P4-TBSI4-M15(11)/C4S5-34</v>
      </c>
      <c r="O128" s="1" t="str">
        <f>Table2[[#This Row],[Column3]]</f>
        <v>PNF-HiC2821</v>
      </c>
      <c r="P128" s="10" t="s">
        <v>118</v>
      </c>
      <c r="Q128" s="10" t="s">
        <v>239</v>
      </c>
      <c r="R128" s="10" t="s">
        <v>240</v>
      </c>
      <c r="W128" t="s">
        <v>243</v>
      </c>
      <c r="X128" t="s">
        <v>244</v>
      </c>
    </row>
    <row r="129" spans="1:24">
      <c r="A129" s="1" t="s">
        <v>20</v>
      </c>
      <c r="B129" s="1" t="s">
        <v>160</v>
      </c>
      <c r="C129" s="1" t="s">
        <v>22</v>
      </c>
      <c r="D129" s="1" t="s">
        <v>92</v>
      </c>
      <c r="E129" s="1">
        <v>14</v>
      </c>
      <c r="F129" s="1" t="str">
        <f>A129&amp;"-"&amp;B129&amp;"-"&amp;D129&amp;"("&amp;Table2[[#This Row],[Column5]]&amp;")"</f>
        <v>P4-TBSI4-M16(14)</v>
      </c>
      <c r="G129" s="1" t="s">
        <v>24</v>
      </c>
      <c r="H129" s="1"/>
      <c r="I129" s="2" t="s">
        <v>161</v>
      </c>
      <c r="J129" s="9">
        <v>35</v>
      </c>
      <c r="K129" s="2" t="s">
        <v>162</v>
      </c>
      <c r="L129" s="10" t="s">
        <v>245</v>
      </c>
      <c r="M129" s="1" t="str">
        <f>IF(Table2[[#This Row],[Need Mark]]="Y",I129&amp;"-"&amp;J129&amp;"/"&amp;F129,"-")</f>
        <v>C4S5-35/P4-TBSI4-M16(14)</v>
      </c>
      <c r="N129" s="1" t="str">
        <f>IF(Table2[[#This Row],[Need Mark]]="Y",F129&amp;"/"&amp;I129&amp;"-"&amp;J129,"-")</f>
        <v>P4-TBSI4-M16(14)/C4S5-35</v>
      </c>
      <c r="O129" s="1"/>
      <c r="P129" s="10" t="s">
        <v>246</v>
      </c>
      <c r="Q129" s="10" t="s">
        <v>247</v>
      </c>
      <c r="R129" s="10" t="s">
        <v>248</v>
      </c>
      <c r="W129" t="s">
        <v>249</v>
      </c>
      <c r="X129" t="s">
        <v>250</v>
      </c>
    </row>
    <row r="130" spans="1:24">
      <c r="A130" s="1" t="s">
        <v>20</v>
      </c>
      <c r="B130" s="1" t="s">
        <v>160</v>
      </c>
      <c r="C130" s="1" t="s">
        <v>22</v>
      </c>
      <c r="D130" s="1" t="str">
        <f t="shared" ref="D130" si="74">D129</f>
        <v>M16</v>
      </c>
      <c r="E130" s="1">
        <v>11</v>
      </c>
      <c r="F130" s="1" t="str">
        <f>A130&amp;"-"&amp;B130&amp;"-"&amp;D130&amp;"("&amp;Table2[[#This Row],[Column5]]&amp;")"</f>
        <v>P4-TBSI4-M16(11)</v>
      </c>
      <c r="G130" s="1" t="s">
        <v>24</v>
      </c>
      <c r="H130" s="1"/>
      <c r="I130" s="2" t="s">
        <v>161</v>
      </c>
      <c r="J130" s="9">
        <v>36</v>
      </c>
      <c r="K130" s="2" t="s">
        <v>166</v>
      </c>
      <c r="L130" s="10" t="s">
        <v>93</v>
      </c>
      <c r="M130" s="1" t="str">
        <f>IF(Table2[[#This Row],[Need Mark]]="Y",I130&amp;"-"&amp;J130&amp;"/"&amp;F130,"-")</f>
        <v>C4S5-36/P4-TBSI4-M16(11)</v>
      </c>
      <c r="N130" s="1" t="str">
        <f>IF(Table2[[#This Row],[Need Mark]]="Y",F130&amp;"/"&amp;I130&amp;"-"&amp;J130,"-")</f>
        <v>P4-TBSI4-M16(11)/C4S5-36</v>
      </c>
      <c r="O130" s="1" t="str">
        <f>Table2[[#This Row],[Column3]]</f>
        <v>PNF-HiC2821</v>
      </c>
      <c r="P130" s="10" t="s">
        <v>246</v>
      </c>
      <c r="Q130" s="10" t="s">
        <v>247</v>
      </c>
      <c r="R130" s="10" t="s">
        <v>248</v>
      </c>
      <c r="W130" t="s">
        <v>251</v>
      </c>
      <c r="X130" t="s">
        <v>252</v>
      </c>
    </row>
    <row r="131" spans="1:24" s="8" customFormat="1">
      <c r="A131" s="6" t="s">
        <v>20</v>
      </c>
      <c r="B131" s="6" t="s">
        <v>253</v>
      </c>
      <c r="C131" s="6" t="s">
        <v>22</v>
      </c>
      <c r="D131" s="6" t="s">
        <v>23</v>
      </c>
      <c r="E131" s="6">
        <v>14</v>
      </c>
      <c r="F131" s="6" t="str">
        <f>A131&amp;"-"&amp;B131&amp;"-"&amp;D131&amp;"("&amp;Table2[[#This Row],[Column5]]&amp;")"</f>
        <v>P4-TBSI5-M1(14)</v>
      </c>
      <c r="G131" s="6" t="s">
        <v>24</v>
      </c>
      <c r="H131" s="6"/>
      <c r="I131" s="6" t="s">
        <v>254</v>
      </c>
      <c r="J131" s="9">
        <v>1</v>
      </c>
      <c r="K131" s="5" t="s">
        <v>162</v>
      </c>
      <c r="L131" s="10" t="s">
        <v>163</v>
      </c>
      <c r="M131" s="6" t="str">
        <f>IF(Table2[[#This Row],[Need Mark]]="Y",I131&amp;"-"&amp;J131&amp;"/"&amp;F131,"-")</f>
        <v>C4S6-1/P4-TBSI5-M1(14)</v>
      </c>
      <c r="N131" s="6" t="str">
        <f>IF(Table2[[#This Row],[Need Mark]]="Y",F131&amp;"/"&amp;I131&amp;"-"&amp;J131,"-")</f>
        <v>P4-TBSI5-M1(14)/C4S6-1</v>
      </c>
      <c r="O131" s="6"/>
      <c r="P131" s="10" t="s">
        <v>246</v>
      </c>
      <c r="Q131" s="10" t="s">
        <v>255</v>
      </c>
      <c r="R131" s="10" t="s">
        <v>256</v>
      </c>
      <c r="W131" t="s">
        <v>257</v>
      </c>
      <c r="X131" t="s">
        <v>258</v>
      </c>
    </row>
    <row r="132" spans="1:24" s="8" customFormat="1">
      <c r="A132" s="6" t="s">
        <v>20</v>
      </c>
      <c r="B132" s="6" t="s">
        <v>253</v>
      </c>
      <c r="C132" s="6" t="s">
        <v>22</v>
      </c>
      <c r="D132" s="6" t="str">
        <f>D131</f>
        <v>M1</v>
      </c>
      <c r="E132" s="6">
        <v>11</v>
      </c>
      <c r="F132" s="6" t="str">
        <f>A132&amp;"-"&amp;B132&amp;"-"&amp;D132&amp;"("&amp;Table2[[#This Row],[Column5]]&amp;")"</f>
        <v>P4-TBSI5-M1(11)</v>
      </c>
      <c r="G132" s="6" t="s">
        <v>24</v>
      </c>
      <c r="H132" s="6"/>
      <c r="I132" s="6" t="s">
        <v>254</v>
      </c>
      <c r="J132" s="9">
        <v>2</v>
      </c>
      <c r="K132" s="5" t="s">
        <v>166</v>
      </c>
      <c r="L132" s="10" t="s">
        <v>27</v>
      </c>
      <c r="M132" s="6" t="str">
        <f>IF(Table2[[#This Row],[Need Mark]]="Y",I132&amp;"-"&amp;J132&amp;"/"&amp;F132,"-")</f>
        <v>C4S6-2/P4-TBSI5-M1(11)</v>
      </c>
      <c r="N132" s="6" t="str">
        <f>IF(Table2[[#This Row],[Need Mark]]="Y",F132&amp;"/"&amp;I132&amp;"-"&amp;J132,"-")</f>
        <v>P4-TBSI5-M1(11)/C4S6-2</v>
      </c>
      <c r="O132" s="6" t="str">
        <f>Table2[[#This Row],[Column3]]</f>
        <v>PNF-HiC2821</v>
      </c>
      <c r="P132" s="10" t="s">
        <v>246</v>
      </c>
      <c r="Q132" s="10" t="s">
        <v>255</v>
      </c>
      <c r="R132" s="10" t="s">
        <v>256</v>
      </c>
      <c r="W132" t="s">
        <v>259</v>
      </c>
      <c r="X132" t="s">
        <v>260</v>
      </c>
    </row>
    <row r="133" spans="1:24" s="8" customFormat="1">
      <c r="A133" s="6" t="s">
        <v>20</v>
      </c>
      <c r="B133" s="6" t="s">
        <v>253</v>
      </c>
      <c r="C133" s="6" t="s">
        <v>22</v>
      </c>
      <c r="D133" s="6" t="s">
        <v>36</v>
      </c>
      <c r="E133" s="6">
        <v>14</v>
      </c>
      <c r="F133" s="6" t="str">
        <f>A133&amp;"-"&amp;B133&amp;"-"&amp;D133&amp;"("&amp;Table2[[#This Row],[Column5]]&amp;")"</f>
        <v>P4-TBSI5-M2(14)</v>
      </c>
      <c r="G133" s="6" t="s">
        <v>24</v>
      </c>
      <c r="H133" s="6"/>
      <c r="I133" s="6" t="s">
        <v>254</v>
      </c>
      <c r="J133" s="9">
        <v>3</v>
      </c>
      <c r="K133" s="5" t="s">
        <v>162</v>
      </c>
      <c r="L133" s="10" t="s">
        <v>167</v>
      </c>
      <c r="M133" s="6" t="str">
        <f>IF(Table2[[#This Row],[Need Mark]]="Y",I133&amp;"-"&amp;J133&amp;"/"&amp;F133,"-")</f>
        <v>C4S6-3/P4-TBSI5-M2(14)</v>
      </c>
      <c r="N133" s="6" t="str">
        <f>IF(Table2[[#This Row],[Need Mark]]="Y",F133&amp;"/"&amp;I133&amp;"-"&amp;J133,"-")</f>
        <v>P4-TBSI5-M2(14)/C4S6-3</v>
      </c>
      <c r="O133" s="6"/>
      <c r="P133" s="10" t="s">
        <v>246</v>
      </c>
      <c r="Q133" s="10" t="s">
        <v>261</v>
      </c>
      <c r="R133" s="10" t="s">
        <v>262</v>
      </c>
      <c r="W133" t="s">
        <v>263</v>
      </c>
      <c r="X133" t="s">
        <v>264</v>
      </c>
    </row>
    <row r="134" spans="1:24" s="8" customFormat="1">
      <c r="A134" s="6" t="s">
        <v>20</v>
      </c>
      <c r="B134" s="6" t="s">
        <v>253</v>
      </c>
      <c r="C134" s="6" t="s">
        <v>22</v>
      </c>
      <c r="D134" s="6" t="str">
        <f t="shared" ref="D134" si="75">D133</f>
        <v>M2</v>
      </c>
      <c r="E134" s="6">
        <v>11</v>
      </c>
      <c r="F134" s="6" t="str">
        <f>A134&amp;"-"&amp;B134&amp;"-"&amp;D134&amp;"("&amp;Table2[[#This Row],[Column5]]&amp;")"</f>
        <v>P4-TBSI5-M2(11)</v>
      </c>
      <c r="G134" s="6" t="s">
        <v>24</v>
      </c>
      <c r="H134" s="6"/>
      <c r="I134" s="6" t="s">
        <v>254</v>
      </c>
      <c r="J134" s="9">
        <v>4</v>
      </c>
      <c r="K134" s="5" t="s">
        <v>166</v>
      </c>
      <c r="L134" s="10" t="s">
        <v>37</v>
      </c>
      <c r="M134" s="6" t="str">
        <f>IF(Table2[[#This Row],[Need Mark]]="Y",I134&amp;"-"&amp;J134&amp;"/"&amp;F134,"-")</f>
        <v>C4S6-4/P4-TBSI5-M2(11)</v>
      </c>
      <c r="N134" s="6" t="str">
        <f>IF(Table2[[#This Row],[Need Mark]]="Y",F134&amp;"/"&amp;I134&amp;"-"&amp;J134,"-")</f>
        <v>P4-TBSI5-M2(11)/C4S6-4</v>
      </c>
      <c r="O134" s="6" t="str">
        <f>Table2[[#This Row],[Column3]]</f>
        <v>PNF-HiC2821</v>
      </c>
      <c r="P134" s="10" t="s">
        <v>246</v>
      </c>
      <c r="Q134" s="10" t="s">
        <v>261</v>
      </c>
      <c r="R134" s="10" t="s">
        <v>262</v>
      </c>
      <c r="W134" t="s">
        <v>265</v>
      </c>
      <c r="X134" t="s">
        <v>266</v>
      </c>
    </row>
    <row r="135" spans="1:24" s="8" customFormat="1">
      <c r="A135" s="6" t="s">
        <v>20</v>
      </c>
      <c r="B135" s="6" t="s">
        <v>253</v>
      </c>
      <c r="C135" s="6" t="s">
        <v>22</v>
      </c>
      <c r="D135" s="6" t="s">
        <v>40</v>
      </c>
      <c r="E135" s="6">
        <v>14</v>
      </c>
      <c r="F135" s="6" t="str">
        <f>A135&amp;"-"&amp;B135&amp;"-"&amp;D135&amp;"("&amp;Table2[[#This Row],[Column5]]&amp;")"</f>
        <v>P4-TBSI5-M3(14)</v>
      </c>
      <c r="G135" s="6" t="s">
        <v>24</v>
      </c>
      <c r="H135" s="6"/>
      <c r="I135" s="6" t="s">
        <v>254</v>
      </c>
      <c r="J135" s="9">
        <v>5</v>
      </c>
      <c r="K135" s="5" t="s">
        <v>162</v>
      </c>
      <c r="L135" s="10" t="s">
        <v>170</v>
      </c>
      <c r="M135" s="6" t="str">
        <f>IF(Table2[[#This Row],[Need Mark]]="Y",I135&amp;"-"&amp;J135&amp;"/"&amp;F135,"-")</f>
        <v>C4S6-5/P4-TBSI5-M3(14)</v>
      </c>
      <c r="N135" s="6" t="str">
        <f>IF(Table2[[#This Row],[Need Mark]]="Y",F135&amp;"/"&amp;I135&amp;"-"&amp;J135,"-")</f>
        <v>P4-TBSI5-M3(14)/C4S6-5</v>
      </c>
      <c r="O135" s="6"/>
      <c r="P135" s="10" t="s">
        <v>246</v>
      </c>
      <c r="Q135" s="10" t="s">
        <v>267</v>
      </c>
      <c r="R135" s="10" t="s">
        <v>268</v>
      </c>
      <c r="W135" t="s">
        <v>269</v>
      </c>
      <c r="X135" t="s">
        <v>270</v>
      </c>
    </row>
    <row r="136" spans="1:24" s="8" customFormat="1">
      <c r="A136" s="6" t="s">
        <v>20</v>
      </c>
      <c r="B136" s="6" t="s">
        <v>253</v>
      </c>
      <c r="C136" s="6" t="s">
        <v>22</v>
      </c>
      <c r="D136" s="6" t="str">
        <f t="shared" ref="D136" si="76">D135</f>
        <v>M3</v>
      </c>
      <c r="E136" s="6">
        <v>11</v>
      </c>
      <c r="F136" s="6" t="str">
        <f>A136&amp;"-"&amp;B136&amp;"-"&amp;D136&amp;"("&amp;Table2[[#This Row],[Column5]]&amp;")"</f>
        <v>P4-TBSI5-M3(11)</v>
      </c>
      <c r="G136" s="6" t="s">
        <v>24</v>
      </c>
      <c r="H136" s="6"/>
      <c r="I136" s="6" t="s">
        <v>254</v>
      </c>
      <c r="J136" s="9">
        <v>6</v>
      </c>
      <c r="K136" s="5" t="s">
        <v>166</v>
      </c>
      <c r="L136" s="10" t="s">
        <v>41</v>
      </c>
      <c r="M136" s="6" t="str">
        <f>IF(Table2[[#This Row],[Need Mark]]="Y",I136&amp;"-"&amp;J136&amp;"/"&amp;F136,"-")</f>
        <v>C4S6-6/P4-TBSI5-M3(11)</v>
      </c>
      <c r="N136" s="6" t="str">
        <f>IF(Table2[[#This Row],[Need Mark]]="Y",F136&amp;"/"&amp;I136&amp;"-"&amp;J136,"-")</f>
        <v>P4-TBSI5-M3(11)/C4S6-6</v>
      </c>
      <c r="O136" s="6" t="str">
        <f>Table2[[#This Row],[Column3]]</f>
        <v>PNF-HiC2821</v>
      </c>
      <c r="P136" s="10" t="s">
        <v>246</v>
      </c>
      <c r="Q136" s="10" t="s">
        <v>267</v>
      </c>
      <c r="R136" s="10" t="s">
        <v>268</v>
      </c>
      <c r="W136" t="s">
        <v>271</v>
      </c>
      <c r="X136" t="s">
        <v>272</v>
      </c>
    </row>
    <row r="137" spans="1:24" s="8" customFormat="1">
      <c r="A137" s="6" t="s">
        <v>20</v>
      </c>
      <c r="B137" s="6" t="s">
        <v>253</v>
      </c>
      <c r="C137" s="6" t="s">
        <v>22</v>
      </c>
      <c r="D137" s="6" t="s">
        <v>44</v>
      </c>
      <c r="E137" s="6">
        <v>14</v>
      </c>
      <c r="F137" s="6" t="str">
        <f>A137&amp;"-"&amp;B137&amp;"-"&amp;D137&amp;"("&amp;Table2[[#This Row],[Column5]]&amp;")"</f>
        <v>P4-TBSI5-M4(14)</v>
      </c>
      <c r="G137" s="6" t="s">
        <v>24</v>
      </c>
      <c r="H137" s="6"/>
      <c r="I137" s="6" t="s">
        <v>254</v>
      </c>
      <c r="J137" s="9">
        <v>7</v>
      </c>
      <c r="K137" s="5" t="s">
        <v>162</v>
      </c>
      <c r="L137" s="10" t="s">
        <v>173</v>
      </c>
      <c r="M137" s="6" t="str">
        <f>IF(Table2[[#This Row],[Need Mark]]="Y",I137&amp;"-"&amp;J137&amp;"/"&amp;F137,"-")</f>
        <v>C4S6-7/P4-TBSI5-M4(14)</v>
      </c>
      <c r="N137" s="6" t="str">
        <f>IF(Table2[[#This Row],[Need Mark]]="Y",F137&amp;"/"&amp;I137&amp;"-"&amp;J137,"-")</f>
        <v>P4-TBSI5-M4(14)/C4S6-7</v>
      </c>
      <c r="O137" s="6"/>
      <c r="P137" s="10" t="s">
        <v>246</v>
      </c>
      <c r="Q137" s="10" t="s">
        <v>273</v>
      </c>
      <c r="R137" s="10" t="s">
        <v>274</v>
      </c>
      <c r="W137" t="s">
        <v>275</v>
      </c>
      <c r="X137" t="s">
        <v>276</v>
      </c>
    </row>
    <row r="138" spans="1:24" s="8" customFormat="1">
      <c r="A138" s="6" t="s">
        <v>20</v>
      </c>
      <c r="B138" s="6" t="s">
        <v>253</v>
      </c>
      <c r="C138" s="6" t="s">
        <v>22</v>
      </c>
      <c r="D138" s="6" t="str">
        <f t="shared" ref="D138" si="77">D137</f>
        <v>M4</v>
      </c>
      <c r="E138" s="6">
        <v>11</v>
      </c>
      <c r="F138" s="6" t="str">
        <f>A138&amp;"-"&amp;B138&amp;"-"&amp;D138&amp;"("&amp;Table2[[#This Row],[Column5]]&amp;")"</f>
        <v>P4-TBSI5-M4(11)</v>
      </c>
      <c r="G138" s="6" t="s">
        <v>24</v>
      </c>
      <c r="H138" s="6"/>
      <c r="I138" s="6" t="s">
        <v>254</v>
      </c>
      <c r="J138" s="9">
        <v>8</v>
      </c>
      <c r="K138" s="5" t="s">
        <v>166</v>
      </c>
      <c r="L138" s="10" t="s">
        <v>45</v>
      </c>
      <c r="M138" s="6" t="str">
        <f>IF(Table2[[#This Row],[Need Mark]]="Y",I138&amp;"-"&amp;J138&amp;"/"&amp;F138,"-")</f>
        <v>C4S6-8/P4-TBSI5-M4(11)</v>
      </c>
      <c r="N138" s="6" t="str">
        <f>IF(Table2[[#This Row],[Need Mark]]="Y",F138&amp;"/"&amp;I138&amp;"-"&amp;J138,"-")</f>
        <v>P4-TBSI5-M4(11)/C4S6-8</v>
      </c>
      <c r="O138" s="6" t="str">
        <f>Table2[[#This Row],[Column3]]</f>
        <v>PNF-HiC2821</v>
      </c>
      <c r="P138" s="10" t="s">
        <v>246</v>
      </c>
      <c r="Q138" s="10" t="s">
        <v>273</v>
      </c>
      <c r="R138" s="10" t="s">
        <v>274</v>
      </c>
      <c r="W138" t="s">
        <v>277</v>
      </c>
      <c r="X138" t="s">
        <v>278</v>
      </c>
    </row>
    <row r="139" spans="1:24" s="8" customFormat="1">
      <c r="A139" s="6" t="s">
        <v>20</v>
      </c>
      <c r="B139" s="6" t="s">
        <v>253</v>
      </c>
      <c r="C139" s="6" t="s">
        <v>22</v>
      </c>
      <c r="D139" s="6" t="s">
        <v>48</v>
      </c>
      <c r="E139" s="6">
        <v>14</v>
      </c>
      <c r="F139" s="6" t="str">
        <f>A139&amp;"-"&amp;B139&amp;"-"&amp;D139&amp;"("&amp;Table2[[#This Row],[Column5]]&amp;")"</f>
        <v>P4-TBSI5-M5(14)</v>
      </c>
      <c r="G139" s="6" t="s">
        <v>24</v>
      </c>
      <c r="H139" s="6"/>
      <c r="I139" s="6" t="s">
        <v>254</v>
      </c>
      <c r="J139" s="9">
        <v>11</v>
      </c>
      <c r="K139" s="5" t="s">
        <v>162</v>
      </c>
      <c r="L139" s="10" t="s">
        <v>176</v>
      </c>
      <c r="M139" s="6" t="str">
        <f>IF(Table2[[#This Row],[Need Mark]]="Y",I139&amp;"-"&amp;J139&amp;"/"&amp;F139,"-")</f>
        <v>C4S6-11/P4-TBSI5-M5(14)</v>
      </c>
      <c r="N139" s="6" t="str">
        <f>IF(Table2[[#This Row],[Need Mark]]="Y",F139&amp;"/"&amp;I139&amp;"-"&amp;J139,"-")</f>
        <v>P4-TBSI5-M5(14)/C4S6-11</v>
      </c>
      <c r="O139" s="6"/>
      <c r="P139" s="10" t="s">
        <v>246</v>
      </c>
      <c r="Q139" s="10" t="s">
        <v>279</v>
      </c>
      <c r="R139" s="10" t="s">
        <v>280</v>
      </c>
      <c r="W139" t="s">
        <v>281</v>
      </c>
      <c r="X139" t="s">
        <v>282</v>
      </c>
    </row>
    <row r="140" spans="1:24" s="8" customFormat="1">
      <c r="A140" s="6" t="s">
        <v>20</v>
      </c>
      <c r="B140" s="6" t="s">
        <v>253</v>
      </c>
      <c r="C140" s="6" t="s">
        <v>22</v>
      </c>
      <c r="D140" s="6" t="str">
        <f t="shared" ref="D140" si="78">D139</f>
        <v>M5</v>
      </c>
      <c r="E140" s="6">
        <v>11</v>
      </c>
      <c r="F140" s="6" t="str">
        <f>A140&amp;"-"&amp;B140&amp;"-"&amp;D140&amp;"("&amp;Table2[[#This Row],[Column5]]&amp;")"</f>
        <v>P4-TBSI5-M5(11)</v>
      </c>
      <c r="G140" s="6" t="s">
        <v>24</v>
      </c>
      <c r="H140" s="6"/>
      <c r="I140" s="6" t="s">
        <v>254</v>
      </c>
      <c r="J140" s="9">
        <v>12</v>
      </c>
      <c r="K140" s="5" t="s">
        <v>166</v>
      </c>
      <c r="L140" s="10" t="s">
        <v>49</v>
      </c>
      <c r="M140" s="6" t="str">
        <f>IF(Table2[[#This Row],[Need Mark]]="Y",I140&amp;"-"&amp;J140&amp;"/"&amp;F140,"-")</f>
        <v>C4S6-12/P4-TBSI5-M5(11)</v>
      </c>
      <c r="N140" s="6" t="str">
        <f>IF(Table2[[#This Row],[Need Mark]]="Y",F140&amp;"/"&amp;I140&amp;"-"&amp;J140,"-")</f>
        <v>P4-TBSI5-M5(11)/C4S6-12</v>
      </c>
      <c r="O140" s="6" t="str">
        <f>Table2[[#This Row],[Column3]]</f>
        <v>PNF-HiC2821</v>
      </c>
      <c r="P140" s="10" t="s">
        <v>246</v>
      </c>
      <c r="Q140" s="10" t="s">
        <v>279</v>
      </c>
      <c r="R140" s="10" t="s">
        <v>280</v>
      </c>
      <c r="W140" t="s">
        <v>283</v>
      </c>
      <c r="X140" t="s">
        <v>284</v>
      </c>
    </row>
    <row r="141" spans="1:24" s="8" customFormat="1">
      <c r="A141" s="6" t="s">
        <v>20</v>
      </c>
      <c r="B141" s="6" t="s">
        <v>253</v>
      </c>
      <c r="C141" s="6" t="s">
        <v>22</v>
      </c>
      <c r="D141" s="6" t="s">
        <v>52</v>
      </c>
      <c r="E141" s="6">
        <v>14</v>
      </c>
      <c r="F141" s="6" t="str">
        <f>A141&amp;"-"&amp;B141&amp;"-"&amp;D141&amp;"("&amp;Table2[[#This Row],[Column5]]&amp;")"</f>
        <v>P4-TBSI5-M6(14)</v>
      </c>
      <c r="G141" s="6" t="s">
        <v>24</v>
      </c>
      <c r="H141" s="6"/>
      <c r="I141" s="6" t="s">
        <v>254</v>
      </c>
      <c r="J141" s="9">
        <v>13</v>
      </c>
      <c r="K141" s="5" t="s">
        <v>162</v>
      </c>
      <c r="L141" s="10" t="s">
        <v>179</v>
      </c>
      <c r="M141" s="6" t="str">
        <f>IF(Table2[[#This Row],[Need Mark]]="Y",I141&amp;"-"&amp;J141&amp;"/"&amp;F141,"-")</f>
        <v>C4S6-13/P4-TBSI5-M6(14)</v>
      </c>
      <c r="N141" s="6" t="str">
        <f>IF(Table2[[#This Row],[Need Mark]]="Y",F141&amp;"/"&amp;I141&amp;"-"&amp;J141,"-")</f>
        <v>P4-TBSI5-M6(14)/C4S6-13</v>
      </c>
      <c r="O141" s="6"/>
      <c r="P141" s="10" t="s">
        <v>246</v>
      </c>
      <c r="Q141" s="10" t="s">
        <v>285</v>
      </c>
      <c r="R141" s="10" t="s">
        <v>286</v>
      </c>
      <c r="W141" t="s">
        <v>287</v>
      </c>
      <c r="X141" t="s">
        <v>288</v>
      </c>
    </row>
    <row r="142" spans="1:24" s="8" customFormat="1">
      <c r="A142" s="6" t="s">
        <v>20</v>
      </c>
      <c r="B142" s="6" t="s">
        <v>253</v>
      </c>
      <c r="C142" s="6" t="s">
        <v>22</v>
      </c>
      <c r="D142" s="6" t="str">
        <f t="shared" ref="D142" si="79">D141</f>
        <v>M6</v>
      </c>
      <c r="E142" s="6">
        <v>11</v>
      </c>
      <c r="F142" s="6" t="str">
        <f>A142&amp;"-"&amp;B142&amp;"-"&amp;D142&amp;"("&amp;Table2[[#This Row],[Column5]]&amp;")"</f>
        <v>P4-TBSI5-M6(11)</v>
      </c>
      <c r="G142" s="6" t="s">
        <v>24</v>
      </c>
      <c r="H142" s="6"/>
      <c r="I142" s="6" t="s">
        <v>254</v>
      </c>
      <c r="J142" s="9">
        <v>14</v>
      </c>
      <c r="K142" s="5" t="s">
        <v>166</v>
      </c>
      <c r="L142" s="10" t="s">
        <v>53</v>
      </c>
      <c r="M142" s="6" t="str">
        <f>IF(Table2[[#This Row],[Need Mark]]="Y",I142&amp;"-"&amp;J142&amp;"/"&amp;F142,"-")</f>
        <v>C4S6-14/P4-TBSI5-M6(11)</v>
      </c>
      <c r="N142" s="6" t="str">
        <f>IF(Table2[[#This Row],[Need Mark]]="Y",F142&amp;"/"&amp;I142&amp;"-"&amp;J142,"-")</f>
        <v>P4-TBSI5-M6(11)/C4S6-14</v>
      </c>
      <c r="O142" s="6" t="str">
        <f>Table2[[#This Row],[Column3]]</f>
        <v>PNF-HiC2821</v>
      </c>
      <c r="P142" s="10" t="s">
        <v>246</v>
      </c>
      <c r="Q142" s="10" t="s">
        <v>285</v>
      </c>
      <c r="R142" s="10" t="s">
        <v>286</v>
      </c>
      <c r="W142" t="s">
        <v>289</v>
      </c>
      <c r="X142" t="s">
        <v>290</v>
      </c>
    </row>
    <row r="143" spans="1:24" s="8" customFormat="1">
      <c r="A143" s="6" t="s">
        <v>20</v>
      </c>
      <c r="B143" s="6" t="s">
        <v>253</v>
      </c>
      <c r="C143" s="6" t="s">
        <v>22</v>
      </c>
      <c r="D143" s="6" t="s">
        <v>56</v>
      </c>
      <c r="E143" s="6">
        <v>14</v>
      </c>
      <c r="F143" s="6" t="str">
        <f>A143&amp;"-"&amp;B143&amp;"-"&amp;D143&amp;"("&amp;Table2[[#This Row],[Column5]]&amp;")"</f>
        <v>P4-TBSI5-M7(14)</v>
      </c>
      <c r="G143" s="6" t="s">
        <v>24</v>
      </c>
      <c r="H143" s="6"/>
      <c r="I143" s="6" t="s">
        <v>254</v>
      </c>
      <c r="J143" s="9">
        <v>15</v>
      </c>
      <c r="K143" s="5" t="s">
        <v>162</v>
      </c>
      <c r="L143" s="10" t="s">
        <v>182</v>
      </c>
      <c r="M143" s="6" t="str">
        <f>IF(Table2[[#This Row],[Need Mark]]="Y",I143&amp;"-"&amp;J143&amp;"/"&amp;F143,"-")</f>
        <v>C4S6-15/P4-TBSI5-M7(14)</v>
      </c>
      <c r="N143" s="6" t="str">
        <f>IF(Table2[[#This Row],[Need Mark]]="Y",F143&amp;"/"&amp;I143&amp;"-"&amp;J143,"-")</f>
        <v>P4-TBSI5-M7(14)/C4S6-15</v>
      </c>
      <c r="O143" s="6"/>
      <c r="P143" s="10" t="s">
        <v>246</v>
      </c>
      <c r="Q143" s="10" t="s">
        <v>291</v>
      </c>
      <c r="R143" s="10" t="s">
        <v>292</v>
      </c>
      <c r="W143" t="s">
        <v>293</v>
      </c>
      <c r="X143" t="s">
        <v>294</v>
      </c>
    </row>
    <row r="144" spans="1:24" s="8" customFormat="1">
      <c r="A144" s="6" t="s">
        <v>20</v>
      </c>
      <c r="B144" s="6" t="s">
        <v>253</v>
      </c>
      <c r="C144" s="6" t="s">
        <v>22</v>
      </c>
      <c r="D144" s="6" t="str">
        <f t="shared" ref="D144" si="80">D143</f>
        <v>M7</v>
      </c>
      <c r="E144" s="6">
        <v>11</v>
      </c>
      <c r="F144" s="6" t="str">
        <f>A144&amp;"-"&amp;B144&amp;"-"&amp;D144&amp;"("&amp;Table2[[#This Row],[Column5]]&amp;")"</f>
        <v>P4-TBSI5-M7(11)</v>
      </c>
      <c r="G144" s="6" t="s">
        <v>24</v>
      </c>
      <c r="H144" s="6"/>
      <c r="I144" s="6" t="s">
        <v>254</v>
      </c>
      <c r="J144" s="9">
        <v>16</v>
      </c>
      <c r="K144" s="5" t="s">
        <v>166</v>
      </c>
      <c r="L144" s="10" t="s">
        <v>57</v>
      </c>
      <c r="M144" s="6" t="str">
        <f>IF(Table2[[#This Row],[Need Mark]]="Y",I144&amp;"-"&amp;J144&amp;"/"&amp;F144,"-")</f>
        <v>C4S6-16/P4-TBSI5-M7(11)</v>
      </c>
      <c r="N144" s="6" t="str">
        <f>IF(Table2[[#This Row],[Need Mark]]="Y",F144&amp;"/"&amp;I144&amp;"-"&amp;J144,"-")</f>
        <v>P4-TBSI5-M7(11)/C4S6-16</v>
      </c>
      <c r="O144" s="6" t="str">
        <f>Table2[[#This Row],[Column3]]</f>
        <v>PNF-HiC2821</v>
      </c>
      <c r="P144" s="10" t="s">
        <v>246</v>
      </c>
      <c r="Q144" s="10" t="s">
        <v>291</v>
      </c>
      <c r="R144" s="10" t="s">
        <v>292</v>
      </c>
      <c r="W144" t="s">
        <v>295</v>
      </c>
      <c r="X144" t="s">
        <v>296</v>
      </c>
    </row>
    <row r="145" spans="1:24" s="8" customFormat="1">
      <c r="A145" s="6" t="s">
        <v>20</v>
      </c>
      <c r="B145" s="6" t="s">
        <v>253</v>
      </c>
      <c r="C145" s="6" t="s">
        <v>22</v>
      </c>
      <c r="D145" s="6" t="s">
        <v>60</v>
      </c>
      <c r="E145" s="6">
        <v>14</v>
      </c>
      <c r="F145" s="6" t="str">
        <f>A145&amp;"-"&amp;B145&amp;"-"&amp;D145&amp;"("&amp;Table2[[#This Row],[Column5]]&amp;")"</f>
        <v>P4-TBSI5-M8(14)</v>
      </c>
      <c r="G145" s="6" t="s">
        <v>24</v>
      </c>
      <c r="H145" s="6"/>
      <c r="I145" s="6" t="s">
        <v>254</v>
      </c>
      <c r="J145" s="9">
        <v>17</v>
      </c>
      <c r="K145" s="5" t="s">
        <v>162</v>
      </c>
      <c r="L145" s="10" t="s">
        <v>189</v>
      </c>
      <c r="M145" s="6" t="str">
        <f>IF(Table2[[#This Row],[Need Mark]]="Y",I145&amp;"-"&amp;J145&amp;"/"&amp;F145,"-")</f>
        <v>C4S6-17/P4-TBSI5-M8(14)</v>
      </c>
      <c r="N145" s="6" t="str">
        <f>IF(Table2[[#This Row],[Need Mark]]="Y",F145&amp;"/"&amp;I145&amp;"-"&amp;J145,"-")</f>
        <v>P4-TBSI5-M8(14)/C4S6-17</v>
      </c>
      <c r="O145" s="6"/>
      <c r="P145" s="10" t="s">
        <v>246</v>
      </c>
      <c r="Q145" s="10" t="s">
        <v>297</v>
      </c>
      <c r="R145" s="10" t="s">
        <v>298</v>
      </c>
      <c r="W145" t="s">
        <v>299</v>
      </c>
      <c r="X145" t="s">
        <v>300</v>
      </c>
    </row>
    <row r="146" spans="1:24" s="8" customFormat="1">
      <c r="A146" s="6" t="s">
        <v>20</v>
      </c>
      <c r="B146" s="6" t="s">
        <v>253</v>
      </c>
      <c r="C146" s="6" t="s">
        <v>22</v>
      </c>
      <c r="D146" s="6" t="str">
        <f t="shared" ref="D146" si="81">D145</f>
        <v>M8</v>
      </c>
      <c r="E146" s="6">
        <v>11</v>
      </c>
      <c r="F146" s="6" t="str">
        <f>A146&amp;"-"&amp;B146&amp;"-"&amp;D146&amp;"("&amp;Table2[[#This Row],[Column5]]&amp;")"</f>
        <v>P4-TBSI5-M8(11)</v>
      </c>
      <c r="G146" s="6" t="s">
        <v>24</v>
      </c>
      <c r="H146" s="6"/>
      <c r="I146" s="6" t="s">
        <v>254</v>
      </c>
      <c r="J146" s="9">
        <v>18</v>
      </c>
      <c r="K146" s="5" t="s">
        <v>166</v>
      </c>
      <c r="L146" s="10" t="s">
        <v>61</v>
      </c>
      <c r="M146" s="6" t="str">
        <f>IF(Table2[[#This Row],[Need Mark]]="Y",I146&amp;"-"&amp;J146&amp;"/"&amp;F146,"-")</f>
        <v>C4S6-18/P4-TBSI5-M8(11)</v>
      </c>
      <c r="N146" s="6" t="str">
        <f>IF(Table2[[#This Row],[Need Mark]]="Y",F146&amp;"/"&amp;I146&amp;"-"&amp;J146,"-")</f>
        <v>P4-TBSI5-M8(11)/C4S6-18</v>
      </c>
      <c r="O146" s="6" t="str">
        <f>Table2[[#This Row],[Column3]]</f>
        <v>PNF-HiC2821</v>
      </c>
      <c r="P146" s="10" t="s">
        <v>246</v>
      </c>
      <c r="Q146" s="10" t="s">
        <v>297</v>
      </c>
      <c r="R146" s="10" t="s">
        <v>298</v>
      </c>
      <c r="W146" t="s">
        <v>301</v>
      </c>
      <c r="X146" t="s">
        <v>302</v>
      </c>
    </row>
    <row r="147" spans="1:24" s="8" customFormat="1">
      <c r="A147" s="6" t="s">
        <v>20</v>
      </c>
      <c r="B147" s="6" t="s">
        <v>253</v>
      </c>
      <c r="C147" s="6" t="s">
        <v>22</v>
      </c>
      <c r="D147" s="6" t="s">
        <v>64</v>
      </c>
      <c r="E147" s="6">
        <v>14</v>
      </c>
      <c r="F147" s="6" t="str">
        <f>A147&amp;"-"&amp;B147&amp;"-"&amp;D147&amp;"("&amp;Table2[[#This Row],[Column5]]&amp;")"</f>
        <v>P4-TBSI5-M9(14)</v>
      </c>
      <c r="G147" s="6" t="s">
        <v>24</v>
      </c>
      <c r="H147" s="6"/>
      <c r="I147" s="6" t="s">
        <v>254</v>
      </c>
      <c r="J147" s="9">
        <v>19</v>
      </c>
      <c r="K147" s="5" t="s">
        <v>162</v>
      </c>
      <c r="L147" s="10" t="s">
        <v>196</v>
      </c>
      <c r="M147" s="6" t="str">
        <f>IF(Table2[[#This Row],[Need Mark]]="Y",I147&amp;"-"&amp;J147&amp;"/"&amp;F147,"-")</f>
        <v>C4S6-19/P4-TBSI5-M9(14)</v>
      </c>
      <c r="N147" s="6" t="str">
        <f>IF(Table2[[#This Row],[Need Mark]]="Y",F147&amp;"/"&amp;I147&amp;"-"&amp;J147,"-")</f>
        <v>P4-TBSI5-M9(14)/C4S6-19</v>
      </c>
      <c r="O147" s="6"/>
      <c r="P147" s="5"/>
      <c r="Q147" s="5"/>
      <c r="R147" s="5"/>
      <c r="W147" t="s">
        <v>303</v>
      </c>
      <c r="X147" t="s">
        <v>304</v>
      </c>
    </row>
    <row r="148" spans="1:24" s="8" customFormat="1">
      <c r="A148" s="6" t="s">
        <v>20</v>
      </c>
      <c r="B148" s="6" t="s">
        <v>253</v>
      </c>
      <c r="C148" s="6" t="s">
        <v>22</v>
      </c>
      <c r="D148" s="6" t="str">
        <f t="shared" ref="D148" si="82">D147</f>
        <v>M9</v>
      </c>
      <c r="E148" s="6">
        <v>11</v>
      </c>
      <c r="F148" s="6" t="str">
        <f>A148&amp;"-"&amp;B148&amp;"-"&amp;D148&amp;"("&amp;Table2[[#This Row],[Column5]]&amp;")"</f>
        <v>P4-TBSI5-M9(11)</v>
      </c>
      <c r="G148" s="6" t="s">
        <v>24</v>
      </c>
      <c r="H148" s="6"/>
      <c r="I148" s="6" t="s">
        <v>254</v>
      </c>
      <c r="J148" s="9">
        <v>20</v>
      </c>
      <c r="K148" s="5" t="s">
        <v>166</v>
      </c>
      <c r="L148" s="10" t="s">
        <v>65</v>
      </c>
      <c r="M148" s="6" t="str">
        <f>IF(Table2[[#This Row],[Need Mark]]="Y",I148&amp;"-"&amp;J148&amp;"/"&amp;F148,"-")</f>
        <v>C4S6-20/P4-TBSI5-M9(11)</v>
      </c>
      <c r="N148" s="6" t="str">
        <f>IF(Table2[[#This Row],[Need Mark]]="Y",F148&amp;"/"&amp;I148&amp;"-"&amp;J148,"-")</f>
        <v>P4-TBSI5-M9(11)/C4S6-20</v>
      </c>
      <c r="O148" s="6" t="str">
        <f>Table2[[#This Row],[Column3]]</f>
        <v>PNF-HiC2821</v>
      </c>
      <c r="P148" s="5"/>
      <c r="Q148" s="5"/>
      <c r="R148" s="5"/>
      <c r="W148" t="s">
        <v>305</v>
      </c>
      <c r="X148" t="s">
        <v>306</v>
      </c>
    </row>
    <row r="149" spans="1:24" s="8" customFormat="1">
      <c r="A149" s="6" t="s">
        <v>20</v>
      </c>
      <c r="B149" s="6" t="s">
        <v>253</v>
      </c>
      <c r="C149" s="6" t="s">
        <v>22</v>
      </c>
      <c r="D149" s="6" t="s">
        <v>68</v>
      </c>
      <c r="E149" s="6">
        <v>14</v>
      </c>
      <c r="F149" s="6" t="str">
        <f>A149&amp;"-"&amp;B149&amp;"-"&amp;D149&amp;"("&amp;Table2[[#This Row],[Column5]]&amp;")"</f>
        <v>P4-TBSI5-M10(14)</v>
      </c>
      <c r="G149" s="6" t="s">
        <v>24</v>
      </c>
      <c r="H149" s="6"/>
      <c r="I149" s="6" t="s">
        <v>254</v>
      </c>
      <c r="J149" s="9">
        <v>21</v>
      </c>
      <c r="K149" s="5" t="s">
        <v>162</v>
      </c>
      <c r="L149" s="10" t="s">
        <v>203</v>
      </c>
      <c r="M149" s="6" t="str">
        <f>IF(Table2[[#This Row],[Need Mark]]="Y",I149&amp;"-"&amp;J149&amp;"/"&amp;F149,"-")</f>
        <v>C4S6-21/P4-TBSI5-M10(14)</v>
      </c>
      <c r="N149" s="6" t="str">
        <f>IF(Table2[[#This Row],[Need Mark]]="Y",F149&amp;"/"&amp;I149&amp;"-"&amp;J149,"-")</f>
        <v>P4-TBSI5-M10(14)/C4S6-21</v>
      </c>
      <c r="O149" s="6"/>
      <c r="P149" s="5"/>
      <c r="Q149" s="5"/>
      <c r="R149" s="5"/>
      <c r="W149" t="s">
        <v>307</v>
      </c>
      <c r="X149" t="s">
        <v>308</v>
      </c>
    </row>
    <row r="150" spans="1:24" s="8" customFormat="1">
      <c r="A150" s="6" t="s">
        <v>20</v>
      </c>
      <c r="B150" s="6" t="s">
        <v>253</v>
      </c>
      <c r="C150" s="6" t="s">
        <v>22</v>
      </c>
      <c r="D150" s="6" t="str">
        <f t="shared" ref="D150" si="83">D149</f>
        <v>M10</v>
      </c>
      <c r="E150" s="6">
        <v>11</v>
      </c>
      <c r="F150" s="6" t="str">
        <f>A150&amp;"-"&amp;B150&amp;"-"&amp;D150&amp;"("&amp;Table2[[#This Row],[Column5]]&amp;")"</f>
        <v>P4-TBSI5-M10(11)</v>
      </c>
      <c r="G150" s="6" t="s">
        <v>24</v>
      </c>
      <c r="H150" s="6"/>
      <c r="I150" s="6" t="s">
        <v>254</v>
      </c>
      <c r="J150" s="9">
        <v>22</v>
      </c>
      <c r="K150" s="5" t="s">
        <v>166</v>
      </c>
      <c r="L150" s="10" t="s">
        <v>69</v>
      </c>
      <c r="M150" s="6" t="str">
        <f>IF(Table2[[#This Row],[Need Mark]]="Y",I150&amp;"-"&amp;J150&amp;"/"&amp;F150,"-")</f>
        <v>C4S6-22/P4-TBSI5-M10(11)</v>
      </c>
      <c r="N150" s="6" t="str">
        <f>IF(Table2[[#This Row],[Need Mark]]="Y",F150&amp;"/"&amp;I150&amp;"-"&amp;J150,"-")</f>
        <v>P4-TBSI5-M10(11)/C4S6-22</v>
      </c>
      <c r="O150" s="6" t="str">
        <f>Table2[[#This Row],[Column3]]</f>
        <v>PNF-HiC2821</v>
      </c>
      <c r="P150" s="5"/>
      <c r="Q150" s="5"/>
      <c r="R150" s="5"/>
      <c r="W150" t="s">
        <v>309</v>
      </c>
      <c r="X150" t="s">
        <v>310</v>
      </c>
    </row>
    <row r="151" spans="1:24" s="8" customFormat="1">
      <c r="A151" s="6" t="s">
        <v>20</v>
      </c>
      <c r="B151" s="6" t="s">
        <v>253</v>
      </c>
      <c r="C151" s="6" t="s">
        <v>22</v>
      </c>
      <c r="D151" s="6" t="s">
        <v>72</v>
      </c>
      <c r="E151" s="6">
        <v>14</v>
      </c>
      <c r="F151" s="6" t="str">
        <f>A151&amp;"-"&amp;B151&amp;"-"&amp;D151&amp;"("&amp;Table2[[#This Row],[Column5]]&amp;")"</f>
        <v>P4-TBSI5-M11(14)</v>
      </c>
      <c r="G151" s="6" t="s">
        <v>24</v>
      </c>
      <c r="H151" s="6"/>
      <c r="I151" s="6" t="s">
        <v>254</v>
      </c>
      <c r="J151" s="9">
        <v>23</v>
      </c>
      <c r="K151" s="5" t="s">
        <v>162</v>
      </c>
      <c r="L151" s="10" t="s">
        <v>210</v>
      </c>
      <c r="M151" s="6" t="str">
        <f>IF(Table2[[#This Row],[Need Mark]]="Y",I151&amp;"-"&amp;J151&amp;"/"&amp;F151,"-")</f>
        <v>C4S6-23/P4-TBSI5-M11(14)</v>
      </c>
      <c r="N151" s="6" t="str">
        <f>IF(Table2[[#This Row],[Need Mark]]="Y",F151&amp;"/"&amp;I151&amp;"-"&amp;J151,"-")</f>
        <v>P4-TBSI5-M11(14)/C4S6-23</v>
      </c>
      <c r="O151" s="6"/>
      <c r="P151" s="5"/>
      <c r="Q151" s="5"/>
      <c r="R151" s="5"/>
      <c r="W151" t="s">
        <v>311</v>
      </c>
      <c r="X151" t="s">
        <v>312</v>
      </c>
    </row>
    <row r="152" spans="1:24" s="8" customFormat="1">
      <c r="A152" s="6" t="s">
        <v>20</v>
      </c>
      <c r="B152" s="6" t="s">
        <v>253</v>
      </c>
      <c r="C152" s="6" t="s">
        <v>22</v>
      </c>
      <c r="D152" s="6" t="str">
        <f t="shared" ref="D152" si="84">D151</f>
        <v>M11</v>
      </c>
      <c r="E152" s="6">
        <v>11</v>
      </c>
      <c r="F152" s="6" t="str">
        <f>A152&amp;"-"&amp;B152&amp;"-"&amp;D152&amp;"("&amp;Table2[[#This Row],[Column5]]&amp;")"</f>
        <v>P4-TBSI5-M11(11)</v>
      </c>
      <c r="G152" s="6" t="s">
        <v>24</v>
      </c>
      <c r="H152" s="6"/>
      <c r="I152" s="6" t="s">
        <v>254</v>
      </c>
      <c r="J152" s="9">
        <v>24</v>
      </c>
      <c r="K152" s="5" t="s">
        <v>166</v>
      </c>
      <c r="L152" s="10" t="s">
        <v>73</v>
      </c>
      <c r="M152" s="6" t="str">
        <f>IF(Table2[[#This Row],[Need Mark]]="Y",I152&amp;"-"&amp;J152&amp;"/"&amp;F152,"-")</f>
        <v>C4S6-24/P4-TBSI5-M11(11)</v>
      </c>
      <c r="N152" s="6" t="str">
        <f>IF(Table2[[#This Row],[Need Mark]]="Y",F152&amp;"/"&amp;I152&amp;"-"&amp;J152,"-")</f>
        <v>P4-TBSI5-M11(11)/C4S6-24</v>
      </c>
      <c r="O152" s="6" t="str">
        <f>Table2[[#This Row],[Column3]]</f>
        <v>PNF-HiC2821</v>
      </c>
      <c r="P152" s="5"/>
      <c r="Q152" s="5"/>
      <c r="R152" s="5"/>
      <c r="W152" t="s">
        <v>313</v>
      </c>
      <c r="X152" t="s">
        <v>314</v>
      </c>
    </row>
    <row r="153" spans="1:24" s="8" customFormat="1">
      <c r="A153" s="6" t="s">
        <v>20</v>
      </c>
      <c r="B153" s="6" t="s">
        <v>253</v>
      </c>
      <c r="C153" s="6" t="s">
        <v>22</v>
      </c>
      <c r="D153" s="6" t="s">
        <v>76</v>
      </c>
      <c r="E153" s="6">
        <v>14</v>
      </c>
      <c r="F153" s="6" t="str">
        <f>A153&amp;"-"&amp;B153&amp;"-"&amp;D153&amp;"("&amp;Table2[[#This Row],[Column5]]&amp;")"</f>
        <v>P4-TBSI5-M12(14)</v>
      </c>
      <c r="G153" s="6" t="s">
        <v>24</v>
      </c>
      <c r="H153" s="6"/>
      <c r="I153" s="6" t="s">
        <v>254</v>
      </c>
      <c r="J153" s="9">
        <v>25</v>
      </c>
      <c r="K153" s="5" t="s">
        <v>162</v>
      </c>
      <c r="L153" s="10" t="s">
        <v>217</v>
      </c>
      <c r="M153" s="6" t="str">
        <f>IF(Table2[[#This Row],[Need Mark]]="Y",I153&amp;"-"&amp;J153&amp;"/"&amp;F153,"-")</f>
        <v>C4S6-25/P4-TBSI5-M12(14)</v>
      </c>
      <c r="N153" s="6" t="str">
        <f>IF(Table2[[#This Row],[Need Mark]]="Y",F153&amp;"/"&amp;I153&amp;"-"&amp;J153,"-")</f>
        <v>P4-TBSI5-M12(14)/C4S6-25</v>
      </c>
      <c r="O153" s="6"/>
      <c r="P153" s="5"/>
      <c r="Q153" s="5"/>
      <c r="R153" s="5"/>
      <c r="W153" t="s">
        <v>315</v>
      </c>
      <c r="X153" t="s">
        <v>316</v>
      </c>
    </row>
    <row r="154" spans="1:24" s="8" customFormat="1">
      <c r="A154" s="6" t="s">
        <v>20</v>
      </c>
      <c r="B154" s="6" t="s">
        <v>253</v>
      </c>
      <c r="C154" s="6" t="s">
        <v>22</v>
      </c>
      <c r="D154" s="6" t="str">
        <f t="shared" ref="D154" si="85">D153</f>
        <v>M12</v>
      </c>
      <c r="E154" s="6">
        <v>11</v>
      </c>
      <c r="F154" s="6" t="str">
        <f>A154&amp;"-"&amp;B154&amp;"-"&amp;D154&amp;"("&amp;Table2[[#This Row],[Column5]]&amp;")"</f>
        <v>P4-TBSI5-M12(11)</v>
      </c>
      <c r="G154" s="6" t="s">
        <v>24</v>
      </c>
      <c r="H154" s="6"/>
      <c r="I154" s="6" t="s">
        <v>254</v>
      </c>
      <c r="J154" s="9">
        <v>26</v>
      </c>
      <c r="K154" s="5" t="s">
        <v>166</v>
      </c>
      <c r="L154" s="10" t="s">
        <v>77</v>
      </c>
      <c r="M154" s="6" t="str">
        <f>IF(Table2[[#This Row],[Need Mark]]="Y",I154&amp;"-"&amp;J154&amp;"/"&amp;F154,"-")</f>
        <v>C4S6-26/P4-TBSI5-M12(11)</v>
      </c>
      <c r="N154" s="6" t="str">
        <f>IF(Table2[[#This Row],[Need Mark]]="Y",F154&amp;"/"&amp;I154&amp;"-"&amp;J154,"-")</f>
        <v>P4-TBSI5-M12(11)/C4S6-26</v>
      </c>
      <c r="O154" s="6" t="str">
        <f>Table2[[#This Row],[Column3]]</f>
        <v>PNF-HiC2821</v>
      </c>
      <c r="P154" s="5"/>
      <c r="Q154" s="5"/>
      <c r="R154" s="5"/>
      <c r="W154" t="s">
        <v>317</v>
      </c>
      <c r="X154" t="s">
        <v>318</v>
      </c>
    </row>
    <row r="155" spans="1:24" s="8" customFormat="1">
      <c r="A155" s="6" t="s">
        <v>20</v>
      </c>
      <c r="B155" s="6" t="s">
        <v>253</v>
      </c>
      <c r="C155" s="6" t="s">
        <v>22</v>
      </c>
      <c r="D155" s="6" t="s">
        <v>80</v>
      </c>
      <c r="E155" s="6">
        <v>14</v>
      </c>
      <c r="F155" s="6" t="str">
        <f>A155&amp;"-"&amp;B155&amp;"-"&amp;D155&amp;"("&amp;Table2[[#This Row],[Column5]]&amp;")"</f>
        <v>P4-TBSI5-M13(14)</v>
      </c>
      <c r="G155" s="6" t="s">
        <v>24</v>
      </c>
      <c r="H155" s="6"/>
      <c r="I155" s="6" t="s">
        <v>254</v>
      </c>
      <c r="J155" s="9">
        <v>29</v>
      </c>
      <c r="K155" s="5" t="s">
        <v>162</v>
      </c>
      <c r="L155" s="10" t="s">
        <v>224</v>
      </c>
      <c r="M155" s="6" t="str">
        <f>IF(Table2[[#This Row],[Need Mark]]="Y",I155&amp;"-"&amp;J155&amp;"/"&amp;F155,"-")</f>
        <v>C4S6-29/P4-TBSI5-M13(14)</v>
      </c>
      <c r="N155" s="6" t="str">
        <f>IF(Table2[[#This Row],[Need Mark]]="Y",F155&amp;"/"&amp;I155&amp;"-"&amp;J155,"-")</f>
        <v>P4-TBSI5-M13(14)/C4S6-29</v>
      </c>
      <c r="O155" s="6"/>
      <c r="P155" s="5"/>
      <c r="Q155" s="5"/>
      <c r="R155" s="5"/>
      <c r="W155" t="s">
        <v>319</v>
      </c>
      <c r="X155" t="s">
        <v>320</v>
      </c>
    </row>
    <row r="156" spans="1:24" s="8" customFormat="1">
      <c r="A156" s="6" t="s">
        <v>20</v>
      </c>
      <c r="B156" s="6" t="s">
        <v>253</v>
      </c>
      <c r="C156" s="6" t="s">
        <v>22</v>
      </c>
      <c r="D156" s="6" t="str">
        <f t="shared" ref="D156" si="86">D155</f>
        <v>M13</v>
      </c>
      <c r="E156" s="6">
        <v>11</v>
      </c>
      <c r="F156" s="6" t="str">
        <f>A156&amp;"-"&amp;B156&amp;"-"&amp;D156&amp;"("&amp;Table2[[#This Row],[Column5]]&amp;")"</f>
        <v>P4-TBSI5-M13(11)</v>
      </c>
      <c r="G156" s="6" t="s">
        <v>24</v>
      </c>
      <c r="H156" s="6"/>
      <c r="I156" s="6" t="s">
        <v>254</v>
      </c>
      <c r="J156" s="9">
        <v>30</v>
      </c>
      <c r="K156" s="5" t="s">
        <v>166</v>
      </c>
      <c r="L156" s="10" t="s">
        <v>81</v>
      </c>
      <c r="M156" s="6" t="str">
        <f>IF(Table2[[#This Row],[Need Mark]]="Y",I156&amp;"-"&amp;J156&amp;"/"&amp;F156,"-")</f>
        <v>C4S6-30/P4-TBSI5-M13(11)</v>
      </c>
      <c r="N156" s="6" t="str">
        <f>IF(Table2[[#This Row],[Need Mark]]="Y",F156&amp;"/"&amp;I156&amp;"-"&amp;J156,"-")</f>
        <v>P4-TBSI5-M13(11)/C4S6-30</v>
      </c>
      <c r="O156" s="6" t="str">
        <f>Table2[[#This Row],[Column3]]</f>
        <v>PNF-HiC2821</v>
      </c>
      <c r="P156" s="5"/>
      <c r="Q156" s="5"/>
      <c r="R156" s="5"/>
      <c r="W156" t="s">
        <v>321</v>
      </c>
      <c r="X156" t="s">
        <v>322</v>
      </c>
    </row>
    <row r="157" spans="1:24" s="8" customFormat="1">
      <c r="A157" s="6" t="s">
        <v>20</v>
      </c>
      <c r="B157" s="6" t="s">
        <v>253</v>
      </c>
      <c r="C157" s="6" t="s">
        <v>22</v>
      </c>
      <c r="D157" s="6" t="s">
        <v>84</v>
      </c>
      <c r="E157" s="6">
        <v>14</v>
      </c>
      <c r="F157" s="6" t="str">
        <f>A157&amp;"-"&amp;B157&amp;"-"&amp;D157&amp;"("&amp;Table2[[#This Row],[Column5]]&amp;")"</f>
        <v>P4-TBSI5-M14(14)</v>
      </c>
      <c r="G157" s="6" t="s">
        <v>24</v>
      </c>
      <c r="H157" s="6"/>
      <c r="I157" s="6" t="s">
        <v>254</v>
      </c>
      <c r="J157" s="9">
        <v>31</v>
      </c>
      <c r="K157" s="5" t="s">
        <v>162</v>
      </c>
      <c r="L157" s="10" t="s">
        <v>231</v>
      </c>
      <c r="M157" s="6" t="str">
        <f>IF(Table2[[#This Row],[Need Mark]]="Y",I157&amp;"-"&amp;J157&amp;"/"&amp;F157,"-")</f>
        <v>C4S6-31/P4-TBSI5-M14(14)</v>
      </c>
      <c r="N157" s="6" t="str">
        <f>IF(Table2[[#This Row],[Need Mark]]="Y",F157&amp;"/"&amp;I157&amp;"-"&amp;J157,"-")</f>
        <v>P4-TBSI5-M14(14)/C4S6-31</v>
      </c>
      <c r="O157" s="6"/>
      <c r="P157" s="5"/>
      <c r="Q157" s="5"/>
      <c r="R157" s="5"/>
      <c r="W157" t="s">
        <v>323</v>
      </c>
      <c r="X157" t="s">
        <v>324</v>
      </c>
    </row>
    <row r="158" spans="1:24" s="8" customFormat="1">
      <c r="A158" s="6" t="s">
        <v>20</v>
      </c>
      <c r="B158" s="6" t="s">
        <v>253</v>
      </c>
      <c r="C158" s="6" t="s">
        <v>22</v>
      </c>
      <c r="D158" s="6" t="str">
        <f t="shared" ref="D158" si="87">D157</f>
        <v>M14</v>
      </c>
      <c r="E158" s="6">
        <v>11</v>
      </c>
      <c r="F158" s="6" t="str">
        <f>A158&amp;"-"&amp;B158&amp;"-"&amp;D158&amp;"("&amp;Table2[[#This Row],[Column5]]&amp;")"</f>
        <v>P4-TBSI5-M14(11)</v>
      </c>
      <c r="G158" s="6" t="s">
        <v>24</v>
      </c>
      <c r="H158" s="6"/>
      <c r="I158" s="6" t="s">
        <v>254</v>
      </c>
      <c r="J158" s="9">
        <v>32</v>
      </c>
      <c r="K158" s="5" t="s">
        <v>166</v>
      </c>
      <c r="L158" s="10" t="s">
        <v>85</v>
      </c>
      <c r="M158" s="6" t="str">
        <f>IF(Table2[[#This Row],[Need Mark]]="Y",I158&amp;"-"&amp;J158&amp;"/"&amp;F158,"-")</f>
        <v>C4S6-32/P4-TBSI5-M14(11)</v>
      </c>
      <c r="N158" s="6" t="str">
        <f>IF(Table2[[#This Row],[Need Mark]]="Y",F158&amp;"/"&amp;I158&amp;"-"&amp;J158,"-")</f>
        <v>P4-TBSI5-M14(11)/C4S6-32</v>
      </c>
      <c r="O158" s="6" t="str">
        <f>Table2[[#This Row],[Column3]]</f>
        <v>PNF-HiC2821</v>
      </c>
      <c r="P158" s="5"/>
      <c r="Q158" s="5"/>
      <c r="R158" s="5"/>
      <c r="W158" t="s">
        <v>325</v>
      </c>
      <c r="X158" t="s">
        <v>326</v>
      </c>
    </row>
    <row r="159" spans="1:24" s="8" customFormat="1">
      <c r="A159" s="6" t="s">
        <v>20</v>
      </c>
      <c r="B159" s="6" t="s">
        <v>253</v>
      </c>
      <c r="C159" s="6" t="s">
        <v>22</v>
      </c>
      <c r="D159" s="6" t="s">
        <v>88</v>
      </c>
      <c r="E159" s="6">
        <v>14</v>
      </c>
      <c r="F159" s="6" t="str">
        <f>A159&amp;"-"&amp;B159&amp;"-"&amp;D159&amp;"("&amp;Table2[[#This Row],[Column5]]&amp;")"</f>
        <v>P4-TBSI5-M15(14)</v>
      </c>
      <c r="G159" s="6" t="s">
        <v>24</v>
      </c>
      <c r="H159" s="6"/>
      <c r="I159" s="6" t="s">
        <v>254</v>
      </c>
      <c r="J159" s="9">
        <v>33</v>
      </c>
      <c r="K159" s="5" t="s">
        <v>162</v>
      </c>
      <c r="L159" s="10" t="s">
        <v>238</v>
      </c>
      <c r="M159" s="6" t="str">
        <f>IF(Table2[[#This Row],[Need Mark]]="Y",I159&amp;"-"&amp;J159&amp;"/"&amp;F159,"-")</f>
        <v>C4S6-33/P4-TBSI5-M15(14)</v>
      </c>
      <c r="N159" s="6" t="str">
        <f>IF(Table2[[#This Row],[Need Mark]]="Y",F159&amp;"/"&amp;I159&amp;"-"&amp;J159,"-")</f>
        <v>P4-TBSI5-M15(14)/C4S6-33</v>
      </c>
      <c r="O159" s="6"/>
      <c r="P159" s="5"/>
      <c r="Q159" s="5"/>
      <c r="R159" s="5"/>
      <c r="W159" t="s">
        <v>327</v>
      </c>
      <c r="X159" t="s">
        <v>328</v>
      </c>
    </row>
    <row r="160" spans="1:24" s="8" customFormat="1">
      <c r="A160" s="6" t="s">
        <v>20</v>
      </c>
      <c r="B160" s="6" t="s">
        <v>253</v>
      </c>
      <c r="C160" s="6" t="s">
        <v>22</v>
      </c>
      <c r="D160" s="6" t="str">
        <f t="shared" ref="D160" si="88">D159</f>
        <v>M15</v>
      </c>
      <c r="E160" s="6">
        <v>11</v>
      </c>
      <c r="F160" s="6" t="str">
        <f>A160&amp;"-"&amp;B160&amp;"-"&amp;D160&amp;"("&amp;Table2[[#This Row],[Column5]]&amp;")"</f>
        <v>P4-TBSI5-M15(11)</v>
      </c>
      <c r="G160" s="6" t="s">
        <v>24</v>
      </c>
      <c r="H160" s="6"/>
      <c r="I160" s="6" t="s">
        <v>254</v>
      </c>
      <c r="J160" s="9">
        <v>34</v>
      </c>
      <c r="K160" s="5" t="s">
        <v>166</v>
      </c>
      <c r="L160" s="10" t="s">
        <v>89</v>
      </c>
      <c r="M160" s="6" t="str">
        <f>IF(Table2[[#This Row],[Need Mark]]="Y",I160&amp;"-"&amp;J160&amp;"/"&amp;F160,"-")</f>
        <v>C4S6-34/P4-TBSI5-M15(11)</v>
      </c>
      <c r="N160" s="6" t="str">
        <f>IF(Table2[[#This Row],[Need Mark]]="Y",F160&amp;"/"&amp;I160&amp;"-"&amp;J160,"-")</f>
        <v>P4-TBSI5-M15(11)/C4S6-34</v>
      </c>
      <c r="O160" s="6" t="str">
        <f>Table2[[#This Row],[Column3]]</f>
        <v>PNF-HiC2821</v>
      </c>
      <c r="P160" s="5"/>
      <c r="Q160" s="5"/>
      <c r="R160" s="5"/>
      <c r="W160" t="s">
        <v>329</v>
      </c>
      <c r="X160" t="s">
        <v>330</v>
      </c>
    </row>
    <row r="161" spans="1:24" s="8" customFormat="1">
      <c r="A161" s="6" t="s">
        <v>20</v>
      </c>
      <c r="B161" s="6" t="s">
        <v>253</v>
      </c>
      <c r="C161" s="6" t="s">
        <v>22</v>
      </c>
      <c r="D161" s="6" t="s">
        <v>92</v>
      </c>
      <c r="E161" s="6">
        <v>14</v>
      </c>
      <c r="F161" s="6" t="str">
        <f>A161&amp;"-"&amp;B161&amp;"-"&amp;D161&amp;"("&amp;Table2[[#This Row],[Column5]]&amp;")"</f>
        <v>P4-TBSI5-M16(14)</v>
      </c>
      <c r="G161" s="6" t="s">
        <v>24</v>
      </c>
      <c r="H161" s="6"/>
      <c r="I161" s="6" t="s">
        <v>254</v>
      </c>
      <c r="J161" s="9">
        <v>35</v>
      </c>
      <c r="K161" s="5" t="s">
        <v>162</v>
      </c>
      <c r="L161" s="10" t="s">
        <v>245</v>
      </c>
      <c r="M161" s="6" t="str">
        <f>IF(Table2[[#This Row],[Need Mark]]="Y",I161&amp;"-"&amp;J161&amp;"/"&amp;F161,"-")</f>
        <v>C4S6-35/P4-TBSI5-M16(14)</v>
      </c>
      <c r="N161" s="6" t="str">
        <f>IF(Table2[[#This Row],[Need Mark]]="Y",F161&amp;"/"&amp;I161&amp;"-"&amp;J161,"-")</f>
        <v>P4-TBSI5-M16(14)/C4S6-35</v>
      </c>
      <c r="O161" s="6"/>
      <c r="P161" s="5"/>
      <c r="Q161" s="5"/>
      <c r="R161" s="5"/>
      <c r="W161" t="s">
        <v>331</v>
      </c>
      <c r="X161" t="s">
        <v>332</v>
      </c>
    </row>
    <row r="162" spans="1:24" s="8" customFormat="1">
      <c r="A162" s="6" t="s">
        <v>20</v>
      </c>
      <c r="B162" s="6" t="s">
        <v>253</v>
      </c>
      <c r="C162" s="6" t="s">
        <v>22</v>
      </c>
      <c r="D162" s="6" t="str">
        <f t="shared" ref="D162" si="89">D161</f>
        <v>M16</v>
      </c>
      <c r="E162" s="6">
        <v>11</v>
      </c>
      <c r="F162" s="6" t="str">
        <f>A162&amp;"-"&amp;B162&amp;"-"&amp;D162&amp;"("&amp;Table2[[#This Row],[Column5]]&amp;")"</f>
        <v>P4-TBSI5-M16(11)</v>
      </c>
      <c r="G162" s="6" t="s">
        <v>24</v>
      </c>
      <c r="H162" s="6"/>
      <c r="I162" s="6" t="s">
        <v>254</v>
      </c>
      <c r="J162" s="9">
        <v>36</v>
      </c>
      <c r="K162" s="5" t="s">
        <v>166</v>
      </c>
      <c r="L162" s="10" t="s">
        <v>93</v>
      </c>
      <c r="M162" s="6" t="str">
        <f>IF(Table2[[#This Row],[Need Mark]]="Y",I162&amp;"-"&amp;J162&amp;"/"&amp;F162,"-")</f>
        <v>C4S6-36/P4-TBSI5-M16(11)</v>
      </c>
      <c r="N162" s="6" t="str">
        <f>IF(Table2[[#This Row],[Need Mark]]="Y",F162&amp;"/"&amp;I162&amp;"-"&amp;J162,"-")</f>
        <v>P4-TBSI5-M16(11)/C4S6-36</v>
      </c>
      <c r="O162" s="6" t="str">
        <f>Table2[[#This Row],[Column3]]</f>
        <v>PNF-HiC2821</v>
      </c>
      <c r="P162" s="5"/>
      <c r="Q162" s="5"/>
      <c r="R162" s="5"/>
      <c r="W162" t="s">
        <v>333</v>
      </c>
      <c r="X162" t="s">
        <v>334</v>
      </c>
    </row>
    <row r="163" spans="1:24">
      <c r="A163" s="1"/>
      <c r="B163" s="1"/>
      <c r="C163" s="1"/>
      <c r="D163" s="1"/>
      <c r="E163" s="1"/>
      <c r="F163" s="1"/>
      <c r="G163" s="1"/>
      <c r="H163" s="1"/>
      <c r="I163" s="2"/>
      <c r="J163" s="3"/>
      <c r="K163" s="2"/>
      <c r="L163" s="1"/>
      <c r="M163" s="1"/>
      <c r="N163" s="1"/>
      <c r="O163" s="1"/>
      <c r="W163" t="s">
        <v>335</v>
      </c>
      <c r="X163" t="s">
        <v>336</v>
      </c>
    </row>
    <row r="164" spans="1:24">
      <c r="A164" s="1"/>
      <c r="B164" s="1"/>
      <c r="C164" s="1"/>
      <c r="D164" s="1"/>
      <c r="E164" s="1"/>
      <c r="F164" s="1"/>
      <c r="G164" s="1"/>
      <c r="H164" s="1"/>
      <c r="I164" s="2"/>
      <c r="J164" s="3"/>
      <c r="K164" s="2"/>
      <c r="L164" s="1"/>
      <c r="M164" s="1"/>
      <c r="N164" s="1"/>
      <c r="O164" s="1"/>
      <c r="W164" t="s">
        <v>337</v>
      </c>
      <c r="X164" t="s">
        <v>338</v>
      </c>
    </row>
    <row r="165" spans="1:24">
      <c r="A165" s="1"/>
      <c r="B165" s="1"/>
      <c r="C165" s="1"/>
      <c r="D165" s="1"/>
      <c r="E165" s="1"/>
      <c r="F165" s="1"/>
      <c r="G165" s="1"/>
      <c r="H165" s="1"/>
      <c r="I165" s="2"/>
      <c r="J165" s="3"/>
      <c r="K165" s="2"/>
      <c r="L165" s="1"/>
      <c r="M165" s="1"/>
      <c r="N165" s="1"/>
      <c r="O165" s="1"/>
      <c r="W165" t="s">
        <v>339</v>
      </c>
      <c r="X165" t="s">
        <v>340</v>
      </c>
    </row>
    <row r="166" spans="1:24">
      <c r="A166" s="1"/>
      <c r="B166" s="1"/>
      <c r="C166" s="1"/>
      <c r="D166" s="1"/>
      <c r="E166" s="1"/>
      <c r="F166" s="1"/>
      <c r="G166" s="1"/>
      <c r="H166" s="1"/>
      <c r="I166" s="2"/>
      <c r="J166" s="3"/>
      <c r="K166" s="2"/>
      <c r="L166" s="1"/>
      <c r="M166" s="1"/>
      <c r="N166" s="1"/>
      <c r="O166" s="1"/>
      <c r="W166" t="s">
        <v>341</v>
      </c>
      <c r="X166" t="s">
        <v>342</v>
      </c>
    </row>
    <row r="167" spans="1:24">
      <c r="A167" s="1"/>
      <c r="B167" s="1"/>
      <c r="C167" s="1"/>
      <c r="D167" s="1"/>
      <c r="E167" s="1"/>
      <c r="F167" s="1"/>
      <c r="G167" s="1"/>
      <c r="H167" s="1"/>
      <c r="I167" s="2"/>
      <c r="J167" s="3"/>
      <c r="K167" s="2"/>
      <c r="L167" s="1"/>
      <c r="M167" s="1"/>
      <c r="N167" s="1"/>
      <c r="O167" s="1"/>
      <c r="W167" t="s">
        <v>343</v>
      </c>
      <c r="X167" t="s">
        <v>344</v>
      </c>
    </row>
    <row r="168" spans="1:24">
      <c r="A168" s="1"/>
      <c r="B168" s="1"/>
      <c r="C168" s="1"/>
      <c r="D168" s="1"/>
      <c r="E168" s="1"/>
      <c r="F168" s="1"/>
      <c r="G168" s="1"/>
      <c r="H168" s="1"/>
      <c r="I168" s="2"/>
      <c r="J168" s="3"/>
      <c r="K168" s="2"/>
      <c r="L168" s="1"/>
      <c r="M168" s="1"/>
      <c r="N168" s="1"/>
      <c r="O168" s="1"/>
      <c r="W168" t="s">
        <v>345</v>
      </c>
      <c r="X168" t="s">
        <v>346</v>
      </c>
    </row>
    <row r="169" spans="1:24">
      <c r="A169" s="1"/>
      <c r="B169" s="1"/>
      <c r="C169" s="1"/>
      <c r="D169" s="1"/>
      <c r="E169" s="1"/>
      <c r="F169" s="1"/>
      <c r="G169" s="1"/>
      <c r="H169" s="1"/>
      <c r="I169" s="2"/>
      <c r="J169" s="3"/>
      <c r="K169" s="2"/>
      <c r="L169" s="1"/>
      <c r="M169" s="1"/>
      <c r="N169" s="1"/>
      <c r="O169" s="1"/>
      <c r="W169" t="s">
        <v>347</v>
      </c>
      <c r="X169" t="s">
        <v>348</v>
      </c>
    </row>
    <row r="170" spans="1:24">
      <c r="W170" t="s">
        <v>349</v>
      </c>
      <c r="X170" t="s">
        <v>350</v>
      </c>
    </row>
    <row r="171" spans="1:24">
      <c r="W171" t="s">
        <v>351</v>
      </c>
      <c r="X171" t="s">
        <v>352</v>
      </c>
    </row>
    <row r="172" spans="1:24">
      <c r="W172" t="s">
        <v>353</v>
      </c>
      <c r="X172" t="s">
        <v>354</v>
      </c>
    </row>
    <row r="173" spans="1:24">
      <c r="A173" s="12">
        <v>1</v>
      </c>
      <c r="B173" s="12" t="s">
        <v>163</v>
      </c>
      <c r="C173" s="12" t="s">
        <v>355</v>
      </c>
      <c r="D173" s="12" t="s">
        <v>23</v>
      </c>
      <c r="E173" s="12" t="str">
        <f>C173&amp;"-"&amp;D173&amp;"(11)"</f>
        <v>P4-TBSI6-M1(11)</v>
      </c>
      <c r="F173" s="13" t="str">
        <f t="shared" ref="F173:F208" si="90">$A$4&amp;"-"&amp;A173&amp;"/"&amp;E173</f>
        <v>P4-1/P4-TBSI6-M1(11)</v>
      </c>
      <c r="G173" s="13" t="str">
        <f t="shared" ref="G173:G208" si="91">E173&amp;"/"&amp;$A$4&amp;"-"&amp;A173</f>
        <v>P4-TBSI6-M1(11)/P4-1</v>
      </c>
      <c r="J173" s="5"/>
      <c r="K173" s="13" t="s">
        <v>356</v>
      </c>
      <c r="L173" s="14" t="s">
        <v>32</v>
      </c>
      <c r="W173" t="s">
        <v>357</v>
      </c>
      <c r="X173" t="s">
        <v>358</v>
      </c>
    </row>
    <row r="174" spans="1:24">
      <c r="A174" s="15">
        <v>2</v>
      </c>
      <c r="B174" s="15" t="s">
        <v>27</v>
      </c>
      <c r="C174" s="12" t="s">
        <v>355</v>
      </c>
      <c r="D174" s="12" t="str">
        <f>D173</f>
        <v>M1</v>
      </c>
      <c r="E174" s="12" t="str">
        <f>C174&amp;"-"&amp;D174&amp;"(14)"</f>
        <v>P4-TBSI6-M1(14)</v>
      </c>
      <c r="F174" s="13" t="str">
        <f t="shared" si="90"/>
        <v>P4-2/P4-TBSI6-M1(14)</v>
      </c>
      <c r="G174" s="13" t="str">
        <f t="shared" si="91"/>
        <v>P4-TBSI6-M1(14)/P4-2</v>
      </c>
      <c r="J174" s="5"/>
      <c r="K174" s="16" t="s">
        <v>356</v>
      </c>
      <c r="L174" s="14" t="s">
        <v>32</v>
      </c>
      <c r="W174" t="s">
        <v>359</v>
      </c>
      <c r="X174" t="s">
        <v>360</v>
      </c>
    </row>
    <row r="175" spans="1:24">
      <c r="A175" s="12">
        <v>3</v>
      </c>
      <c r="B175" s="12" t="s">
        <v>167</v>
      </c>
      <c r="C175" s="12" t="s">
        <v>355</v>
      </c>
      <c r="D175" s="12" t="s">
        <v>36</v>
      </c>
      <c r="E175" s="12" t="str">
        <f>C175&amp;"-"&amp;D175&amp;"(11)"</f>
        <v>P4-TBSI6-M2(11)</v>
      </c>
      <c r="F175" s="13" t="str">
        <f t="shared" si="90"/>
        <v>P4-3/P4-TBSI6-M2(11)</v>
      </c>
      <c r="G175" s="13" t="str">
        <f t="shared" si="91"/>
        <v>P4-TBSI6-M2(11)/P4-3</v>
      </c>
      <c r="J175" s="5"/>
      <c r="K175" s="13" t="s">
        <v>361</v>
      </c>
      <c r="L175" s="14" t="s">
        <v>32</v>
      </c>
    </row>
    <row r="176" spans="1:24">
      <c r="A176" s="15">
        <v>4</v>
      </c>
      <c r="B176" s="15" t="s">
        <v>37</v>
      </c>
      <c r="C176" s="12" t="s">
        <v>355</v>
      </c>
      <c r="D176" s="12" t="str">
        <f>D175</f>
        <v>M2</v>
      </c>
      <c r="E176" s="12" t="str">
        <f>C176&amp;"-"&amp;D176&amp;"(14)"</f>
        <v>P4-TBSI6-M2(14)</v>
      </c>
      <c r="F176" s="13" t="str">
        <f t="shared" si="90"/>
        <v>P4-4/P4-TBSI6-M2(14)</v>
      </c>
      <c r="G176" s="13" t="str">
        <f t="shared" si="91"/>
        <v>P4-TBSI6-M2(14)/P4-4</v>
      </c>
      <c r="J176" s="5"/>
      <c r="K176" s="16" t="s">
        <v>361</v>
      </c>
      <c r="L176" s="14" t="s">
        <v>32</v>
      </c>
    </row>
    <row r="177" spans="1:12">
      <c r="A177" s="12">
        <v>5</v>
      </c>
      <c r="B177" s="12" t="s">
        <v>170</v>
      </c>
      <c r="C177" s="12" t="s">
        <v>355</v>
      </c>
      <c r="D177" s="12" t="s">
        <v>36</v>
      </c>
      <c r="E177" s="12" t="str">
        <f>C177&amp;"-"&amp;D177&amp;"(11)"</f>
        <v>P4-TBSI6-M2(11)</v>
      </c>
      <c r="F177" s="13" t="str">
        <f t="shared" si="90"/>
        <v>P4-5/P4-TBSI6-M2(11)</v>
      </c>
      <c r="G177" s="13" t="str">
        <f t="shared" si="91"/>
        <v>P4-TBSI6-M2(11)/P4-5</v>
      </c>
      <c r="H177" s="12" t="s">
        <v>246</v>
      </c>
      <c r="I177" s="13" t="s">
        <v>362</v>
      </c>
      <c r="J177" s="12" t="s">
        <v>363</v>
      </c>
      <c r="K177" s="13" t="s">
        <v>364</v>
      </c>
      <c r="L177" s="17" t="s">
        <v>365</v>
      </c>
    </row>
    <row r="178" spans="1:12">
      <c r="A178" s="15">
        <v>6</v>
      </c>
      <c r="B178" s="15" t="s">
        <v>41</v>
      </c>
      <c r="C178" s="12" t="s">
        <v>355</v>
      </c>
      <c r="D178" s="12" t="str">
        <f>D177</f>
        <v>M2</v>
      </c>
      <c r="E178" s="12" t="str">
        <f>C178&amp;"-"&amp;D178&amp;"(14)"</f>
        <v>P4-TBSI6-M2(14)</v>
      </c>
      <c r="F178" s="13" t="str">
        <f t="shared" si="90"/>
        <v>P4-6/P4-TBSI6-M2(14)</v>
      </c>
      <c r="G178" s="13" t="str">
        <f t="shared" si="91"/>
        <v>P4-TBSI6-M2(14)/P4-6</v>
      </c>
      <c r="H178" s="15" t="s">
        <v>246</v>
      </c>
      <c r="I178" s="16" t="s">
        <v>362</v>
      </c>
      <c r="J178" s="15" t="s">
        <v>363</v>
      </c>
      <c r="K178" s="16" t="s">
        <v>364</v>
      </c>
      <c r="L178" s="17" t="s">
        <v>365</v>
      </c>
    </row>
    <row r="179" spans="1:12">
      <c r="A179" s="12">
        <v>7</v>
      </c>
      <c r="B179" s="12" t="s">
        <v>173</v>
      </c>
      <c r="C179" s="12" t="s">
        <v>355</v>
      </c>
      <c r="D179" s="12" t="s">
        <v>40</v>
      </c>
      <c r="E179" s="12" t="str">
        <f>C179&amp;"-"&amp;D179&amp;"(11)"</f>
        <v>P4-TBSI6-M3(11)</v>
      </c>
      <c r="F179" s="13" t="str">
        <f t="shared" si="90"/>
        <v>P4-7/P4-TBSI6-M3(11)</v>
      </c>
      <c r="G179" s="13" t="str">
        <f t="shared" si="91"/>
        <v>P4-TBSI6-M3(11)/P4-7</v>
      </c>
      <c r="H179" s="12" t="s">
        <v>246</v>
      </c>
      <c r="I179" s="13" t="s">
        <v>362</v>
      </c>
      <c r="J179" s="12" t="s">
        <v>363</v>
      </c>
      <c r="K179" s="13" t="s">
        <v>364</v>
      </c>
      <c r="L179" s="17" t="s">
        <v>365</v>
      </c>
    </row>
    <row r="180" spans="1:12">
      <c r="A180" s="15">
        <v>8</v>
      </c>
      <c r="B180" s="15" t="s">
        <v>45</v>
      </c>
      <c r="C180" s="12" t="s">
        <v>355</v>
      </c>
      <c r="D180" s="12" t="str">
        <f>D179</f>
        <v>M3</v>
      </c>
      <c r="E180" s="12" t="str">
        <f>C180&amp;"-"&amp;D180&amp;"(14)"</f>
        <v>P4-TBSI6-M3(14)</v>
      </c>
      <c r="F180" s="13" t="str">
        <f t="shared" si="90"/>
        <v>P4-8/P4-TBSI6-M3(14)</v>
      </c>
      <c r="G180" s="13" t="str">
        <f t="shared" si="91"/>
        <v>P4-TBSI6-M3(14)/P4-8</v>
      </c>
      <c r="H180" s="15" t="s">
        <v>246</v>
      </c>
      <c r="I180" s="16" t="s">
        <v>362</v>
      </c>
      <c r="J180" s="15" t="s">
        <v>363</v>
      </c>
      <c r="K180" s="16" t="s">
        <v>364</v>
      </c>
      <c r="L180" s="17" t="s">
        <v>365</v>
      </c>
    </row>
    <row r="181" spans="1:12">
      <c r="A181" s="12">
        <v>9</v>
      </c>
      <c r="B181" s="12" t="s">
        <v>366</v>
      </c>
      <c r="C181" s="12" t="s">
        <v>355</v>
      </c>
      <c r="D181" s="12"/>
      <c r="E181" s="12" t="str">
        <f>C181&amp;"-"&amp;D181&amp;"(11)"</f>
        <v>P4-TBSI6-(11)</v>
      </c>
      <c r="F181" s="13" t="str">
        <f t="shared" si="90"/>
        <v>P4-9/P4-TBSI6-(11)</v>
      </c>
      <c r="G181" s="13" t="str">
        <f t="shared" si="91"/>
        <v>P4-TBSI6-(11)/P4-9</v>
      </c>
      <c r="H181" s="12" t="s">
        <v>118</v>
      </c>
      <c r="I181" s="13" t="s">
        <v>367</v>
      </c>
      <c r="J181" s="12" t="s">
        <v>368</v>
      </c>
      <c r="K181" s="13" t="s">
        <v>369</v>
      </c>
      <c r="L181" s="18" t="s">
        <v>370</v>
      </c>
    </row>
    <row r="182" spans="1:12">
      <c r="A182" s="15">
        <v>10</v>
      </c>
      <c r="B182" s="15" t="s">
        <v>366</v>
      </c>
      <c r="C182" s="12" t="s">
        <v>355</v>
      </c>
      <c r="D182" s="12"/>
      <c r="E182" s="12" t="str">
        <f>C182&amp;"-"&amp;D182&amp;"(14)"</f>
        <v>P4-TBSI6-(14)</v>
      </c>
      <c r="F182" s="13" t="str">
        <f t="shared" si="90"/>
        <v>P4-10/P4-TBSI6-(14)</v>
      </c>
      <c r="G182" s="13" t="str">
        <f t="shared" si="91"/>
        <v>P4-TBSI6-(14)/P4-10</v>
      </c>
      <c r="H182" s="15" t="s">
        <v>118</v>
      </c>
      <c r="I182" s="16" t="s">
        <v>367</v>
      </c>
      <c r="J182" s="15" t="s">
        <v>368</v>
      </c>
      <c r="K182" s="16" t="s">
        <v>369</v>
      </c>
      <c r="L182" s="18" t="s">
        <v>370</v>
      </c>
    </row>
    <row r="183" spans="1:12">
      <c r="A183" s="12">
        <v>11</v>
      </c>
      <c r="B183" s="12" t="s">
        <v>176</v>
      </c>
      <c r="C183" s="12" t="s">
        <v>355</v>
      </c>
      <c r="D183" s="12" t="s">
        <v>48</v>
      </c>
      <c r="E183" s="12" t="str">
        <f>C183&amp;"-"&amp;D183&amp;"(11)"</f>
        <v>P4-TBSI6-M5(11)</v>
      </c>
      <c r="F183" s="13" t="str">
        <f t="shared" si="90"/>
        <v>P4-11/P4-TBSI6-M5(11)</v>
      </c>
      <c r="G183" s="13" t="str">
        <f t="shared" si="91"/>
        <v>P4-TBSI6-M5(11)/P4-11</v>
      </c>
      <c r="J183" s="5"/>
      <c r="K183" s="13" t="s">
        <v>356</v>
      </c>
      <c r="L183" s="14" t="s">
        <v>32</v>
      </c>
    </row>
    <row r="184" spans="1:12">
      <c r="A184" s="15">
        <v>12</v>
      </c>
      <c r="B184" s="15" t="s">
        <v>49</v>
      </c>
      <c r="C184" s="12" t="s">
        <v>355</v>
      </c>
      <c r="D184" s="12" t="str">
        <f>D183</f>
        <v>M5</v>
      </c>
      <c r="E184" s="12" t="str">
        <f>C184&amp;"-"&amp;D184&amp;"(14)"</f>
        <v>P4-TBSI6-M5(14)</v>
      </c>
      <c r="F184" s="13" t="str">
        <f t="shared" si="90"/>
        <v>P4-12/P4-TBSI6-M5(14)</v>
      </c>
      <c r="G184" s="13" t="str">
        <f t="shared" si="91"/>
        <v>P4-TBSI6-M5(14)/P4-12</v>
      </c>
      <c r="J184" s="5"/>
      <c r="K184" s="16" t="s">
        <v>356</v>
      </c>
      <c r="L184" s="14" t="s">
        <v>32</v>
      </c>
    </row>
    <row r="185" spans="1:12">
      <c r="A185" s="12">
        <v>13</v>
      </c>
      <c r="B185" s="12" t="s">
        <v>179</v>
      </c>
      <c r="C185" s="12" t="s">
        <v>355</v>
      </c>
      <c r="D185" s="12" t="s">
        <v>52</v>
      </c>
      <c r="E185" s="12" t="str">
        <f>C185&amp;"-"&amp;D185&amp;"(11)"</f>
        <v>P4-TBSI6-M6(11)</v>
      </c>
      <c r="F185" s="13" t="str">
        <f t="shared" si="90"/>
        <v>P4-13/P4-TBSI6-M6(11)</v>
      </c>
      <c r="G185" s="13" t="str">
        <f t="shared" si="91"/>
        <v>P4-TBSI6-M6(11)/P4-13</v>
      </c>
      <c r="J185" s="5"/>
      <c r="K185" s="13" t="s">
        <v>356</v>
      </c>
      <c r="L185" s="14" t="s">
        <v>32</v>
      </c>
    </row>
    <row r="186" spans="1:12">
      <c r="A186" s="15">
        <v>14</v>
      </c>
      <c r="B186" s="15" t="s">
        <v>53</v>
      </c>
      <c r="C186" s="12" t="s">
        <v>355</v>
      </c>
      <c r="D186" s="12" t="str">
        <f>D185</f>
        <v>M6</v>
      </c>
      <c r="E186" s="12" t="str">
        <f>C186&amp;"-"&amp;D186&amp;"(14)"</f>
        <v>P4-TBSI6-M6(14)</v>
      </c>
      <c r="F186" s="13" t="str">
        <f t="shared" si="90"/>
        <v>P4-14/P4-TBSI6-M6(14)</v>
      </c>
      <c r="G186" s="13" t="str">
        <f t="shared" si="91"/>
        <v>P4-TBSI6-M6(14)/P4-14</v>
      </c>
      <c r="J186" s="5"/>
      <c r="K186" s="16" t="s">
        <v>356</v>
      </c>
      <c r="L186" s="14" t="s">
        <v>32</v>
      </c>
    </row>
    <row r="187" spans="1:12">
      <c r="A187" s="12">
        <v>15</v>
      </c>
      <c r="B187" s="12" t="s">
        <v>182</v>
      </c>
      <c r="C187" s="12" t="s">
        <v>355</v>
      </c>
      <c r="D187" s="12" t="s">
        <v>56</v>
      </c>
      <c r="E187" s="12" t="str">
        <f>C187&amp;"-"&amp;D187&amp;"(11)"</f>
        <v>P4-TBSI6-M7(11)</v>
      </c>
      <c r="F187" s="13" t="str">
        <f t="shared" si="90"/>
        <v>P4-15/P4-TBSI6-M7(11)</v>
      </c>
      <c r="G187" s="13" t="str">
        <f t="shared" si="91"/>
        <v>P4-TBSI6-M7(11)/P4-15</v>
      </c>
      <c r="J187" s="5"/>
      <c r="K187" s="13" t="s">
        <v>371</v>
      </c>
      <c r="L187" s="14" t="s">
        <v>32</v>
      </c>
    </row>
    <row r="188" spans="1:12">
      <c r="A188" s="15">
        <v>16</v>
      </c>
      <c r="B188" s="15" t="s">
        <v>57</v>
      </c>
      <c r="C188" s="12" t="s">
        <v>355</v>
      </c>
      <c r="D188" s="12" t="str">
        <f>D187</f>
        <v>M7</v>
      </c>
      <c r="E188" s="12" t="str">
        <f>C188&amp;"-"&amp;D188&amp;"(14)"</f>
        <v>P4-TBSI6-M7(14)</v>
      </c>
      <c r="F188" s="13" t="str">
        <f t="shared" si="90"/>
        <v>P4-16/P4-TBSI6-M7(14)</v>
      </c>
      <c r="G188" s="13" t="str">
        <f t="shared" si="91"/>
        <v>P4-TBSI6-M7(14)/P4-16</v>
      </c>
      <c r="J188" s="5"/>
      <c r="K188" s="16" t="s">
        <v>371</v>
      </c>
      <c r="L188" s="14" t="s">
        <v>32</v>
      </c>
    </row>
    <row r="189" spans="1:12">
      <c r="A189" s="12">
        <v>17</v>
      </c>
      <c r="B189" s="12" t="s">
        <v>189</v>
      </c>
      <c r="C189" s="12" t="s">
        <v>355</v>
      </c>
      <c r="D189" s="12" t="s">
        <v>60</v>
      </c>
      <c r="E189" s="12" t="str">
        <f>C189&amp;"-"&amp;D189&amp;"(11)"</f>
        <v>P4-TBSI6-M8(11)</v>
      </c>
      <c r="F189" s="13" t="str">
        <f t="shared" si="90"/>
        <v>P4-17/P4-TBSI6-M8(11)</v>
      </c>
      <c r="G189" s="13" t="str">
        <f t="shared" si="91"/>
        <v>P4-TBSI6-M8(11)/P4-17</v>
      </c>
      <c r="J189" s="5"/>
      <c r="K189" s="13" t="s">
        <v>372</v>
      </c>
      <c r="L189" s="14" t="s">
        <v>32</v>
      </c>
    </row>
    <row r="190" spans="1:12">
      <c r="A190" s="15">
        <v>18</v>
      </c>
      <c r="B190" s="15" t="s">
        <v>61</v>
      </c>
      <c r="C190" s="12" t="s">
        <v>355</v>
      </c>
      <c r="D190" s="12" t="str">
        <f>D189</f>
        <v>M8</v>
      </c>
      <c r="E190" s="12" t="str">
        <f>C190&amp;"-"&amp;D190&amp;"(14)"</f>
        <v>P4-TBSI6-M8(14)</v>
      </c>
      <c r="F190" s="13" t="str">
        <f t="shared" si="90"/>
        <v>P4-18/P4-TBSI6-M8(14)</v>
      </c>
      <c r="G190" s="13" t="str">
        <f t="shared" si="91"/>
        <v>P4-TBSI6-M8(14)/P4-18</v>
      </c>
      <c r="J190" s="5"/>
      <c r="K190" s="16" t="s">
        <v>372</v>
      </c>
      <c r="L190" s="14" t="s">
        <v>32</v>
      </c>
    </row>
    <row r="191" spans="1:12">
      <c r="A191" s="12">
        <v>19</v>
      </c>
      <c r="B191" s="12" t="s">
        <v>196</v>
      </c>
      <c r="C191" s="12" t="s">
        <v>355</v>
      </c>
      <c r="D191" s="12" t="s">
        <v>64</v>
      </c>
      <c r="E191" s="12" t="str">
        <f>C191&amp;"-"&amp;D191&amp;"(11)"</f>
        <v>P4-TBSI6-M9(11)</v>
      </c>
      <c r="F191" s="13" t="str">
        <f t="shared" si="90"/>
        <v>P4-19/P4-TBSI6-M9(11)</v>
      </c>
      <c r="G191" s="13" t="str">
        <f t="shared" si="91"/>
        <v>P4-TBSI6-M9(11)/P4-19</v>
      </c>
      <c r="J191" s="5"/>
      <c r="K191" s="13" t="s">
        <v>372</v>
      </c>
      <c r="L191" s="14" t="s">
        <v>32</v>
      </c>
    </row>
    <row r="192" spans="1:12">
      <c r="A192" s="15">
        <v>20</v>
      </c>
      <c r="B192" s="15" t="s">
        <v>65</v>
      </c>
      <c r="C192" s="12" t="s">
        <v>355</v>
      </c>
      <c r="D192" s="12" t="str">
        <f>D191</f>
        <v>M9</v>
      </c>
      <c r="E192" s="12" t="str">
        <f>C192&amp;"-"&amp;D192&amp;"(14)"</f>
        <v>P4-TBSI6-M9(14)</v>
      </c>
      <c r="F192" s="13" t="str">
        <f t="shared" si="90"/>
        <v>P4-20/P4-TBSI6-M9(14)</v>
      </c>
      <c r="G192" s="13" t="str">
        <f t="shared" si="91"/>
        <v>P4-TBSI6-M9(14)/P4-20</v>
      </c>
      <c r="J192" s="5"/>
      <c r="K192" s="16" t="s">
        <v>372</v>
      </c>
      <c r="L192" s="14" t="s">
        <v>32</v>
      </c>
    </row>
    <row r="193" spans="1:12">
      <c r="A193" s="12">
        <v>21</v>
      </c>
      <c r="B193" s="12" t="s">
        <v>203</v>
      </c>
      <c r="C193" s="12" t="s">
        <v>355</v>
      </c>
      <c r="D193" s="12" t="s">
        <v>68</v>
      </c>
      <c r="E193" s="12" t="str">
        <f>C193&amp;"-"&amp;D193&amp;"(11)"</f>
        <v>P4-TBSI6-M10(11)</v>
      </c>
      <c r="F193" s="13" t="str">
        <f t="shared" si="90"/>
        <v>P4-21/P4-TBSI6-M10(11)</v>
      </c>
      <c r="G193" s="13" t="str">
        <f t="shared" si="91"/>
        <v>P4-TBSI6-M10(11)/P4-21</v>
      </c>
      <c r="J193" s="5"/>
      <c r="K193" s="13" t="s">
        <v>372</v>
      </c>
      <c r="L193" s="14" t="s">
        <v>32</v>
      </c>
    </row>
    <row r="194" spans="1:12">
      <c r="A194" s="15">
        <v>22</v>
      </c>
      <c r="B194" s="15" t="s">
        <v>69</v>
      </c>
      <c r="C194" s="12" t="s">
        <v>355</v>
      </c>
      <c r="D194" s="12" t="str">
        <f>D193</f>
        <v>M10</v>
      </c>
      <c r="E194" s="12" t="str">
        <f>C194&amp;"-"&amp;D194&amp;"(14)"</f>
        <v>P4-TBSI6-M10(14)</v>
      </c>
      <c r="F194" s="13" t="str">
        <f t="shared" si="90"/>
        <v>P4-22/P4-TBSI6-M10(14)</v>
      </c>
      <c r="G194" s="13" t="str">
        <f t="shared" si="91"/>
        <v>P4-TBSI6-M10(14)/P4-22</v>
      </c>
      <c r="J194" s="5"/>
      <c r="K194" s="16" t="s">
        <v>372</v>
      </c>
      <c r="L194" s="14" t="s">
        <v>32</v>
      </c>
    </row>
    <row r="195" spans="1:12">
      <c r="A195" s="12">
        <v>23</v>
      </c>
      <c r="B195" s="12" t="s">
        <v>210</v>
      </c>
      <c r="C195" s="12" t="s">
        <v>355</v>
      </c>
      <c r="D195" s="12" t="s">
        <v>72</v>
      </c>
      <c r="E195" s="12" t="str">
        <f>C195&amp;"-"&amp;D195&amp;"(11)"</f>
        <v>P4-TBSI6-M11(11)</v>
      </c>
      <c r="F195" s="13" t="str">
        <f t="shared" si="90"/>
        <v>P4-23/P4-TBSI6-M11(11)</v>
      </c>
      <c r="G195" s="13" t="str">
        <f t="shared" si="91"/>
        <v>P4-TBSI6-M11(11)/P4-23</v>
      </c>
      <c r="J195" s="5"/>
      <c r="K195" s="13" t="s">
        <v>372</v>
      </c>
      <c r="L195" s="14" t="s">
        <v>32</v>
      </c>
    </row>
    <row r="196" spans="1:12">
      <c r="A196" s="15">
        <v>24</v>
      </c>
      <c r="B196" s="15" t="s">
        <v>73</v>
      </c>
      <c r="C196" s="12" t="s">
        <v>355</v>
      </c>
      <c r="D196" s="12" t="str">
        <f>D195</f>
        <v>M11</v>
      </c>
      <c r="E196" s="12" t="str">
        <f>C196&amp;"-"&amp;D196&amp;"(14)"</f>
        <v>P4-TBSI6-M11(14)</v>
      </c>
      <c r="F196" s="13" t="str">
        <f t="shared" si="90"/>
        <v>P4-24/P4-TBSI6-M11(14)</v>
      </c>
      <c r="G196" s="13" t="str">
        <f t="shared" si="91"/>
        <v>P4-TBSI6-M11(14)/P4-24</v>
      </c>
      <c r="J196" s="5"/>
      <c r="K196" s="16" t="s">
        <v>372</v>
      </c>
      <c r="L196" s="14" t="s">
        <v>32</v>
      </c>
    </row>
    <row r="197" spans="1:12">
      <c r="A197" s="12">
        <v>25</v>
      </c>
      <c r="B197" s="12" t="s">
        <v>217</v>
      </c>
      <c r="C197" s="12" t="s">
        <v>355</v>
      </c>
      <c r="D197" s="12" t="s">
        <v>76</v>
      </c>
      <c r="E197" s="12" t="str">
        <f>C197&amp;"-"&amp;D197&amp;"(11)"</f>
        <v>P4-TBSI6-M12(11)</v>
      </c>
      <c r="F197" s="13" t="str">
        <f t="shared" si="90"/>
        <v>P4-25/P4-TBSI6-M12(11)</v>
      </c>
      <c r="G197" s="13" t="str">
        <f t="shared" si="91"/>
        <v>P4-TBSI6-M12(11)/P4-25</v>
      </c>
      <c r="J197" s="5"/>
      <c r="K197" s="13" t="s">
        <v>373</v>
      </c>
      <c r="L197" s="14" t="s">
        <v>32</v>
      </c>
    </row>
    <row r="198" spans="1:12">
      <c r="A198" s="15">
        <v>26</v>
      </c>
      <c r="B198" s="15" t="s">
        <v>77</v>
      </c>
      <c r="C198" s="12" t="s">
        <v>355</v>
      </c>
      <c r="D198" s="12" t="str">
        <f>D197</f>
        <v>M12</v>
      </c>
      <c r="E198" s="12" t="str">
        <f>C198&amp;"-"&amp;D198&amp;"(14)"</f>
        <v>P4-TBSI6-M12(14)</v>
      </c>
      <c r="F198" s="13" t="str">
        <f t="shared" si="90"/>
        <v>P4-26/P4-TBSI6-M12(14)</v>
      </c>
      <c r="G198" s="13" t="str">
        <f t="shared" si="91"/>
        <v>P4-TBSI6-M12(14)/P4-26</v>
      </c>
      <c r="J198" s="5"/>
      <c r="K198" s="16" t="s">
        <v>373</v>
      </c>
      <c r="L198" s="14" t="s">
        <v>32</v>
      </c>
    </row>
    <row r="199" spans="1:12">
      <c r="A199" s="12">
        <v>27</v>
      </c>
      <c r="B199" s="12" t="s">
        <v>366</v>
      </c>
      <c r="C199" s="12" t="s">
        <v>355</v>
      </c>
      <c r="D199" s="12"/>
      <c r="E199" s="12" t="str">
        <f>C199&amp;"-"&amp;D199&amp;"(11)"</f>
        <v>P4-TBSI6-(11)</v>
      </c>
      <c r="F199" s="13" t="str">
        <f t="shared" si="90"/>
        <v>P4-27/P4-TBSI6-(11)</v>
      </c>
      <c r="G199" s="13" t="str">
        <f t="shared" si="91"/>
        <v>P4-TBSI6-(11)/P4-27</v>
      </c>
      <c r="H199" s="12" t="s">
        <v>118</v>
      </c>
      <c r="I199" s="13" t="s">
        <v>367</v>
      </c>
      <c r="J199" s="12" t="s">
        <v>368</v>
      </c>
      <c r="K199" s="13" t="s">
        <v>369</v>
      </c>
      <c r="L199" s="18" t="s">
        <v>370</v>
      </c>
    </row>
    <row r="200" spans="1:12">
      <c r="A200" s="15">
        <v>28</v>
      </c>
      <c r="B200" s="15" t="s">
        <v>366</v>
      </c>
      <c r="C200" s="12" t="s">
        <v>355</v>
      </c>
      <c r="D200" s="12"/>
      <c r="E200" s="12" t="str">
        <f>C200&amp;"-"&amp;D200&amp;"(14)"</f>
        <v>P4-TBSI6-(14)</v>
      </c>
      <c r="F200" s="13" t="str">
        <f t="shared" si="90"/>
        <v>P4-28/P4-TBSI6-(14)</v>
      </c>
      <c r="G200" s="13" t="str">
        <f t="shared" si="91"/>
        <v>P4-TBSI6-(14)/P4-28</v>
      </c>
      <c r="H200" s="15" t="s">
        <v>118</v>
      </c>
      <c r="I200" s="16" t="s">
        <v>367</v>
      </c>
      <c r="J200" s="15" t="s">
        <v>368</v>
      </c>
      <c r="K200" s="16" t="s">
        <v>369</v>
      </c>
      <c r="L200" s="18" t="s">
        <v>370</v>
      </c>
    </row>
    <row r="201" spans="1:12">
      <c r="A201" s="12">
        <v>29</v>
      </c>
      <c r="B201" s="12" t="s">
        <v>224</v>
      </c>
      <c r="C201" s="12" t="s">
        <v>355</v>
      </c>
      <c r="D201" s="12" t="s">
        <v>80</v>
      </c>
      <c r="E201" s="12" t="str">
        <f>C201&amp;"-"&amp;D201&amp;"(11)"</f>
        <v>P4-TBSI6-M13(11)</v>
      </c>
      <c r="F201" s="13" t="str">
        <f t="shared" si="90"/>
        <v>P4-29/P4-TBSI6-M13(11)</v>
      </c>
      <c r="G201" s="13" t="str">
        <f t="shared" si="91"/>
        <v>P4-TBSI6-M13(11)/P4-29</v>
      </c>
      <c r="J201" s="5"/>
      <c r="K201" s="13" t="s">
        <v>373</v>
      </c>
      <c r="L201" s="14" t="s">
        <v>32</v>
      </c>
    </row>
    <row r="202" spans="1:12">
      <c r="A202" s="15">
        <v>30</v>
      </c>
      <c r="B202" s="15" t="s">
        <v>81</v>
      </c>
      <c r="C202" s="12" t="s">
        <v>355</v>
      </c>
      <c r="D202" s="12" t="str">
        <f>D201</f>
        <v>M13</v>
      </c>
      <c r="E202" s="12" t="str">
        <f>C202&amp;"-"&amp;D202&amp;"(14)"</f>
        <v>P4-TBSI6-M13(14)</v>
      </c>
      <c r="F202" s="13" t="str">
        <f t="shared" si="90"/>
        <v>P4-30/P4-TBSI6-M13(14)</v>
      </c>
      <c r="G202" s="13" t="str">
        <f t="shared" si="91"/>
        <v>P4-TBSI6-M13(14)/P4-30</v>
      </c>
      <c r="J202" s="5"/>
      <c r="K202" s="16" t="s">
        <v>373</v>
      </c>
      <c r="L202" s="14" t="s">
        <v>32</v>
      </c>
    </row>
    <row r="203" spans="1:12">
      <c r="A203" s="12">
        <v>31</v>
      </c>
      <c r="B203" s="12" t="s">
        <v>231</v>
      </c>
      <c r="C203" s="12" t="s">
        <v>355</v>
      </c>
      <c r="D203" s="12" t="s">
        <v>84</v>
      </c>
      <c r="E203" s="12" t="str">
        <f>C203&amp;"-"&amp;D203&amp;"(11)"</f>
        <v>P4-TBSI6-M14(11)</v>
      </c>
      <c r="F203" s="13" t="str">
        <f t="shared" si="90"/>
        <v>P4-31/P4-TBSI6-M14(11)</v>
      </c>
      <c r="G203" s="13" t="str">
        <f t="shared" si="91"/>
        <v>P4-TBSI6-M14(11)/P4-31</v>
      </c>
      <c r="H203" s="12" t="s">
        <v>246</v>
      </c>
      <c r="I203" s="13" t="s">
        <v>362</v>
      </c>
      <c r="J203" s="12" t="s">
        <v>363</v>
      </c>
      <c r="K203" s="13" t="s">
        <v>364</v>
      </c>
      <c r="L203" s="17" t="s">
        <v>365</v>
      </c>
    </row>
    <row r="204" spans="1:12">
      <c r="A204" s="15">
        <v>32</v>
      </c>
      <c r="B204" s="15" t="s">
        <v>85</v>
      </c>
      <c r="C204" s="12" t="s">
        <v>355</v>
      </c>
      <c r="D204" s="12" t="str">
        <f>D203</f>
        <v>M14</v>
      </c>
      <c r="E204" s="12" t="str">
        <f>C204&amp;"-"&amp;D204&amp;"(14)"</f>
        <v>P4-TBSI6-M14(14)</v>
      </c>
      <c r="F204" s="13" t="str">
        <f t="shared" si="90"/>
        <v>P4-32/P4-TBSI6-M14(14)</v>
      </c>
      <c r="G204" s="13" t="str">
        <f t="shared" si="91"/>
        <v>P4-TBSI6-M14(14)/P4-32</v>
      </c>
      <c r="H204" s="15" t="s">
        <v>246</v>
      </c>
      <c r="I204" s="16" t="s">
        <v>362</v>
      </c>
      <c r="J204" s="15" t="s">
        <v>363</v>
      </c>
      <c r="K204" s="16" t="s">
        <v>364</v>
      </c>
      <c r="L204" s="17" t="s">
        <v>365</v>
      </c>
    </row>
    <row r="205" spans="1:12">
      <c r="A205" s="12">
        <v>33</v>
      </c>
      <c r="B205" s="12" t="s">
        <v>238</v>
      </c>
      <c r="C205" s="12" t="s">
        <v>355</v>
      </c>
      <c r="D205" s="12" t="s">
        <v>88</v>
      </c>
      <c r="E205" s="12" t="str">
        <f>C205&amp;"-"&amp;D205&amp;"(11)"</f>
        <v>P4-TBSI6-M15(11)</v>
      </c>
      <c r="F205" s="13" t="str">
        <f t="shared" si="90"/>
        <v>P4-33/P4-TBSI6-M15(11)</v>
      </c>
      <c r="G205" s="13" t="str">
        <f t="shared" si="91"/>
        <v>P4-TBSI6-M15(11)/P4-33</v>
      </c>
      <c r="H205" s="12" t="s">
        <v>246</v>
      </c>
      <c r="I205" s="13" t="s">
        <v>362</v>
      </c>
      <c r="J205" s="12" t="s">
        <v>363</v>
      </c>
      <c r="K205" s="13" t="s">
        <v>364</v>
      </c>
      <c r="L205" s="17" t="s">
        <v>365</v>
      </c>
    </row>
    <row r="206" spans="1:12">
      <c r="A206" s="15">
        <v>34</v>
      </c>
      <c r="B206" s="15" t="s">
        <v>89</v>
      </c>
      <c r="C206" s="12" t="s">
        <v>355</v>
      </c>
      <c r="D206" s="12" t="str">
        <f>D205</f>
        <v>M15</v>
      </c>
      <c r="E206" s="12" t="str">
        <f>C206&amp;"-"&amp;D206&amp;"(14)"</f>
        <v>P4-TBSI6-M15(14)</v>
      </c>
      <c r="F206" s="13" t="str">
        <f t="shared" si="90"/>
        <v>P4-34/P4-TBSI6-M15(14)</v>
      </c>
      <c r="G206" s="13" t="str">
        <f t="shared" si="91"/>
        <v>P4-TBSI6-M15(14)/P4-34</v>
      </c>
      <c r="H206" s="15" t="s">
        <v>246</v>
      </c>
      <c r="I206" s="16" t="s">
        <v>362</v>
      </c>
      <c r="J206" s="15" t="s">
        <v>363</v>
      </c>
      <c r="K206" s="16" t="s">
        <v>364</v>
      </c>
      <c r="L206" s="17" t="s">
        <v>365</v>
      </c>
    </row>
    <row r="207" spans="1:12">
      <c r="A207" s="12">
        <v>35</v>
      </c>
      <c r="B207" s="12" t="s">
        <v>245</v>
      </c>
      <c r="C207" s="12" t="s">
        <v>355</v>
      </c>
      <c r="D207" s="12" t="s">
        <v>92</v>
      </c>
      <c r="E207" s="12" t="str">
        <f>C207&amp;"-"&amp;D207&amp;"(11)"</f>
        <v>P4-TBSI6-M16(11)</v>
      </c>
      <c r="F207" s="13" t="str">
        <f t="shared" si="90"/>
        <v>P4-35/P4-TBSI6-M16(11)</v>
      </c>
      <c r="G207" s="13" t="str">
        <f t="shared" si="91"/>
        <v>P4-TBSI6-M16(11)/P4-35</v>
      </c>
      <c r="H207" s="12" t="s">
        <v>246</v>
      </c>
      <c r="I207" s="13" t="s">
        <v>362</v>
      </c>
      <c r="J207" s="12" t="s">
        <v>363</v>
      </c>
      <c r="K207" s="13" t="s">
        <v>364</v>
      </c>
      <c r="L207" s="17" t="s">
        <v>365</v>
      </c>
    </row>
    <row r="208" spans="1:12">
      <c r="A208" s="15">
        <v>36</v>
      </c>
      <c r="B208" s="15" t="s">
        <v>93</v>
      </c>
      <c r="C208" s="12" t="s">
        <v>355</v>
      </c>
      <c r="D208" s="12" t="str">
        <f>D207</f>
        <v>M16</v>
      </c>
      <c r="E208" s="12" t="str">
        <f>C208&amp;"-"&amp;D208&amp;"(14)"</f>
        <v>P4-TBSI6-M16(14)</v>
      </c>
      <c r="F208" s="13" t="str">
        <f t="shared" si="90"/>
        <v>P4-36/P4-TBSI6-M16(14)</v>
      </c>
      <c r="G208" s="13" t="str">
        <f t="shared" si="91"/>
        <v>P4-TBSI6-M16(14)/P4-36</v>
      </c>
      <c r="H208" s="15" t="s">
        <v>246</v>
      </c>
      <c r="I208" s="16" t="s">
        <v>362</v>
      </c>
      <c r="J208" s="15" t="s">
        <v>363</v>
      </c>
      <c r="K208" s="16" t="s">
        <v>364</v>
      </c>
      <c r="L208" s="17" t="s">
        <v>365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TBSI-All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2026-10-10T05:37:39Z</dcterms:created>
  <dcterms:modified xsi:type="dcterms:W3CDTF">2026-10-10T05:38:15Z</dcterms:modified>
</cp:coreProperties>
</file>