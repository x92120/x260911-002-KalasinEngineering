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BSI-All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<sst xmlns="http://schemas.openxmlformats.org/spreadsheetml/2006/main" count="3276" uniqueCount="308">
  <si>
    <t xml:space="preserve">Panel _ID</t>
  </si>
  <si>
    <t xml:space="preserve">Slot Config</t>
  </si>
  <si>
    <t xml:space="preserve">Source Terminal</t>
  </si>
  <si>
    <t xml:space="preserve">Terminal Number</t>
  </si>
  <si>
    <t xml:space="preserve">Column11</t>
  </si>
  <si>
    <t xml:space="preserve">Column12</t>
  </si>
  <si>
    <t xml:space="preserve">Need Mark</t>
  </si>
  <si>
    <t xml:space="preserve">Tag-Panel Side (Right)</t>
  </si>
  <si>
    <t xml:space="preserve">Tag Terminal Side (Left)</t>
  </si>
  <si>
    <t xml:space="preserve">Column6</t>
  </si>
  <si>
    <t xml:space="preserve">Column2</t>
  </si>
  <si>
    <t xml:space="preserve">Junction Box Terminal</t>
  </si>
  <si>
    <t xml:space="preserve">Column42</t>
  </si>
  <si>
    <t xml:space="preserve">Column43</t>
  </si>
  <si>
    <t xml:space="preserve">Column44</t>
  </si>
  <si>
    <t xml:space="preserve">Column45</t>
  </si>
  <si>
    <t xml:space="preserve">Column46</t>
  </si>
  <si>
    <t xml:space="preserve">Junction Box</t>
  </si>
  <si>
    <t xml:space="preserve">Instruement</t>
  </si>
  <si>
    <t xml:space="preserve">Instruement _IO</t>
  </si>
  <si>
    <t xml:space="preserve">Intruement Terminal</t>
  </si>
  <si>
    <t xml:space="preserve">Column19</t>
  </si>
  <si>
    <t xml:space="preserve">Column4</t>
  </si>
  <si>
    <t xml:space="preserve">Junction Master Terminal Box</t>
  </si>
  <si>
    <t xml:space="preserve">Junction Box Terminal Model</t>
  </si>
  <si>
    <t xml:space="preserve">Item</t>
  </si>
  <si>
    <t xml:space="preserve">Column5</t>
  </si>
  <si>
    <t xml:space="preserve">Column7</t>
  </si>
  <si>
    <t xml:space="preserve">Column20</t>
  </si>
  <si>
    <t xml:space="preserve">P4</t>
  </si>
  <si>
    <t xml:space="preserve">C4S1</t>
  </si>
  <si>
    <t xml:space="preserve">TB-24VDC</t>
  </si>
  <si>
    <t xml:space="preserve">2(1)</t>
  </si>
  <si>
    <t xml:space="preserve">N/C</t>
  </si>
  <si>
    <t xml:space="preserve">Y</t>
  </si>
  <si>
    <t xml:space="preserve">TBSI1</t>
  </si>
  <si>
    <t xml:space="preserve">IS-JB-603</t>
  </si>
  <si>
    <t xml:space="preserve">AT-40201</t>
  </si>
  <si>
    <t xml:space="preserve">AT-40201_DI_1</t>
  </si>
  <si>
    <t xml:space="preserve">Process Instrument</t>
  </si>
  <si>
    <t xml:space="preserve">HiCTB16-SCT-44C-SC-RA</t>
  </si>
  <si>
    <t xml:space="preserve">PNF-HiC2821</t>
  </si>
  <si>
    <t xml:space="preserve">ACTIVE</t>
  </si>
  <si>
    <t xml:space="preserve">DI</t>
  </si>
  <si>
    <t xml:space="preserve">IN-0</t>
  </si>
  <si>
    <t xml:space="preserve">M1</t>
  </si>
  <si>
    <t xml:space="preserve">AT-40202</t>
  </si>
  <si>
    <t xml:space="preserve">AT-40202_DI_1</t>
  </si>
  <si>
    <t xml:space="preserve">IN-1</t>
  </si>
  <si>
    <t xml:space="preserve">M2</t>
  </si>
  <si>
    <t xml:space="preserve">AT-40203</t>
  </si>
  <si>
    <t xml:space="preserve">AT-40203_DI_1</t>
  </si>
  <si>
    <t xml:space="preserve">IN-2</t>
  </si>
  <si>
    <t xml:space="preserve">LSH-60230</t>
  </si>
  <si>
    <t xml:space="preserve">LSH-60230_DI_1</t>
  </si>
  <si>
    <t xml:space="preserve">IN-3</t>
  </si>
  <si>
    <t xml:space="preserve">M3</t>
  </si>
  <si>
    <t xml:space="preserve">LSH-60231</t>
  </si>
  <si>
    <t xml:space="preserve">LSH-60231_DI_1</t>
  </si>
  <si>
    <t xml:space="preserve">IN-4</t>
  </si>
  <si>
    <t xml:space="preserve">M5</t>
  </si>
  <si>
    <t xml:space="preserve">LSH-60240</t>
  </si>
  <si>
    <t xml:space="preserve">LSH-60240_DI_1</t>
  </si>
  <si>
    <t xml:space="preserve">IN-5</t>
  </si>
  <si>
    <t xml:space="preserve">M6</t>
  </si>
  <si>
    <t xml:space="preserve">PD-60202</t>
  </si>
  <si>
    <t xml:space="preserve">PD-60202_DI_1</t>
  </si>
  <si>
    <t xml:space="preserve">IN-6</t>
  </si>
  <si>
    <t xml:space="preserve">M7</t>
  </si>
  <si>
    <t xml:space="preserve">RV-60204</t>
  </si>
  <si>
    <t xml:space="preserve">RV-60204_DI_1</t>
  </si>
  <si>
    <t xml:space="preserve">IN-7</t>
  </si>
  <si>
    <t xml:space="preserve">M8</t>
  </si>
  <si>
    <t xml:space="preserve">ZS-60201C</t>
  </si>
  <si>
    <t xml:space="preserve">ZS-60201C_DI_1</t>
  </si>
  <si>
    <t xml:space="preserve">IN-8</t>
  </si>
  <si>
    <t xml:space="preserve">M9</t>
  </si>
  <si>
    <t xml:space="preserve">ZS-60201D</t>
  </si>
  <si>
    <t xml:space="preserve">ZS-60201D_DI_1</t>
  </si>
  <si>
    <t xml:space="preserve">IN-9</t>
  </si>
  <si>
    <t xml:space="preserve">M10</t>
  </si>
  <si>
    <t xml:space="preserve">ZS-60201E</t>
  </si>
  <si>
    <t xml:space="preserve">ZS-60201E_DI_1</t>
  </si>
  <si>
    <t xml:space="preserve">IN-10</t>
  </si>
  <si>
    <t xml:space="preserve">M11</t>
  </si>
  <si>
    <t xml:space="preserve">ZS-60229</t>
  </si>
  <si>
    <t xml:space="preserve">ZS-60229_DI_1</t>
  </si>
  <si>
    <t xml:space="preserve">IN-11</t>
  </si>
  <si>
    <t xml:space="preserve">M12</t>
  </si>
  <si>
    <t xml:space="preserve">ZS-60230</t>
  </si>
  <si>
    <t xml:space="preserve">ZS-60230_DI_1</t>
  </si>
  <si>
    <t xml:space="preserve">IN-12</t>
  </si>
  <si>
    <t xml:space="preserve">M13</t>
  </si>
  <si>
    <t xml:space="preserve">ZS-60231A</t>
  </si>
  <si>
    <t xml:space="preserve">ZS-60231A_DI_1</t>
  </si>
  <si>
    <t xml:space="preserve">IN-13</t>
  </si>
  <si>
    <t xml:space="preserve">M14</t>
  </si>
  <si>
    <t xml:space="preserve">ZS-60231B</t>
  </si>
  <si>
    <t xml:space="preserve">ZS-60231B_DI_1</t>
  </si>
  <si>
    <t xml:space="preserve">IN-14</t>
  </si>
  <si>
    <t xml:space="preserve">M15</t>
  </si>
  <si>
    <t xml:space="preserve">IN-15</t>
  </si>
  <si>
    <t xml:space="preserve">M16</t>
  </si>
  <si>
    <t xml:space="preserve">2(2)</t>
  </si>
  <si>
    <t xml:space="preserve">TBSI2</t>
  </si>
  <si>
    <t xml:space="preserve">IS-JB-608</t>
  </si>
  <si>
    <t xml:space="preserve">ZS-60201A</t>
  </si>
  <si>
    <t xml:space="preserve">ZS-60201A_DI_1</t>
  </si>
  <si>
    <t xml:space="preserve">IN-16</t>
  </si>
  <si>
    <t xml:space="preserve">IN-17</t>
  </si>
  <si>
    <t xml:space="preserve">ZS-60201B</t>
  </si>
  <si>
    <t xml:space="preserve">ZS-60201B_DI_1</t>
  </si>
  <si>
    <t xml:space="preserve">IN-18</t>
  </si>
  <si>
    <t xml:space="preserve">ZS-60231C</t>
  </si>
  <si>
    <t xml:space="preserve">ZS-60231C_DI_1</t>
  </si>
  <si>
    <t xml:space="preserve">IN-19</t>
  </si>
  <si>
    <t xml:space="preserve">ZS-60231D</t>
  </si>
  <si>
    <t xml:space="preserve">ZS-60231D_DI_1</t>
  </si>
  <si>
    <t xml:space="preserve">IN-20</t>
  </si>
  <si>
    <t xml:space="preserve">ZS-60231E</t>
  </si>
  <si>
    <t xml:space="preserve">ZS-60231E_DI_1</t>
  </si>
  <si>
    <t xml:space="preserve">IN-21</t>
  </si>
  <si>
    <t xml:space="preserve">ZS-60231F</t>
  </si>
  <si>
    <t xml:space="preserve">ZS-60231F_DI_1</t>
  </si>
  <si>
    <t xml:space="preserve">IN-22</t>
  </si>
  <si>
    <t xml:space="preserve">ZS-60240</t>
  </si>
  <si>
    <t xml:space="preserve">ZS-60240_DI_1</t>
  </si>
  <si>
    <t xml:space="preserve">IN-23</t>
  </si>
  <si>
    <t xml:space="preserve">IS-JB-612</t>
  </si>
  <si>
    <t xml:space="preserve">ISV-61303</t>
  </si>
  <si>
    <t xml:space="preserve">ISV-61303_DI_1</t>
  </si>
  <si>
    <t xml:space="preserve">IN-24</t>
  </si>
  <si>
    <t xml:space="preserve">ISV-61304</t>
  </si>
  <si>
    <t xml:space="preserve">ISV-61304_DI_1</t>
  </si>
  <si>
    <t xml:space="preserve">IN-25</t>
  </si>
  <si>
    <t xml:space="preserve">LSH-61304</t>
  </si>
  <si>
    <t xml:space="preserve">LSH-61304_DI_1</t>
  </si>
  <si>
    <t xml:space="preserve">IN-26</t>
  </si>
  <si>
    <t xml:space="preserve">LSH-61305</t>
  </si>
  <si>
    <t xml:space="preserve">LSH-61305_DI_1</t>
  </si>
  <si>
    <t xml:space="preserve">IN-27</t>
  </si>
  <si>
    <t xml:space="preserve">LSH-61307</t>
  </si>
  <si>
    <t xml:space="preserve">LSH-61307_DI_1</t>
  </si>
  <si>
    <t xml:space="preserve">IN-28</t>
  </si>
  <si>
    <t xml:space="preserve">LSH-61312</t>
  </si>
  <si>
    <t xml:space="preserve">LSH-61312_DI_1</t>
  </si>
  <si>
    <t xml:space="preserve">IN-29</t>
  </si>
  <si>
    <t xml:space="preserve">PSE-61302</t>
  </si>
  <si>
    <t xml:space="preserve">PSE-61302_DI_1</t>
  </si>
  <si>
    <t xml:space="preserve">IN-30</t>
  </si>
  <si>
    <t xml:space="preserve">PSE-61303</t>
  </si>
  <si>
    <t xml:space="preserve">PSE-61303_DI_1</t>
  </si>
  <si>
    <t xml:space="preserve">IN-31</t>
  </si>
  <si>
    <t xml:space="preserve">C4S2</t>
  </si>
  <si>
    <t xml:space="preserve">TBSI3</t>
  </si>
  <si>
    <t xml:space="preserve">RV-61301</t>
  </si>
  <si>
    <t xml:space="preserve">RV-61301_DI_1</t>
  </si>
  <si>
    <t xml:space="preserve">RV-61304</t>
  </si>
  <si>
    <t xml:space="preserve">RV-61304_DI_1</t>
  </si>
  <si>
    <t xml:space="preserve">RV-61305</t>
  </si>
  <si>
    <t xml:space="preserve">RV-61305_DI_1</t>
  </si>
  <si>
    <t xml:space="preserve">SC-61301</t>
  </si>
  <si>
    <t xml:space="preserve">SC-61301_DI_1</t>
  </si>
  <si>
    <t xml:space="preserve">SC-61302</t>
  </si>
  <si>
    <t xml:space="preserve">SC-61302_DI_1</t>
  </si>
  <si>
    <t xml:space="preserve">ZS-61312</t>
  </si>
  <si>
    <t xml:space="preserve">ZS-61312_DI_1</t>
  </si>
  <si>
    <t xml:space="preserve">ZS-61313</t>
  </si>
  <si>
    <t xml:space="preserve">ZS-61313_DI_1</t>
  </si>
  <si>
    <t xml:space="preserve">IS-JB-618</t>
  </si>
  <si>
    <t xml:space="preserve">ISV-61301</t>
  </si>
  <si>
    <t xml:space="preserve">ISV-61301_DI_1</t>
  </si>
  <si>
    <t xml:space="preserve">LSH-61301</t>
  </si>
  <si>
    <t xml:space="preserve">LSH-61301_DI_1</t>
  </si>
  <si>
    <t xml:space="preserve">LSH-61303</t>
  </si>
  <si>
    <t xml:space="preserve">LSH-61303_DI_1</t>
  </si>
  <si>
    <t xml:space="preserve">LSH-61306</t>
  </si>
  <si>
    <t xml:space="preserve">LSH-61306_DI_1</t>
  </si>
  <si>
    <t xml:space="preserve">LSH-61308</t>
  </si>
  <si>
    <t xml:space="preserve">LSH-61308_DI_1</t>
  </si>
  <si>
    <t xml:space="preserve">LSL-61302</t>
  </si>
  <si>
    <t xml:space="preserve">LSL-61302_DI_1</t>
  </si>
  <si>
    <t xml:space="preserve">PSE-61300</t>
  </si>
  <si>
    <t xml:space="preserve">PSE-61300_DI_1</t>
  </si>
  <si>
    <t xml:space="preserve">PSE-61301</t>
  </si>
  <si>
    <t xml:space="preserve">PSE-61301_DI_1</t>
  </si>
  <si>
    <t xml:space="preserve">PSE-61304</t>
  </si>
  <si>
    <t xml:space="preserve">PSE-61304_DI_1</t>
  </si>
  <si>
    <t xml:space="preserve">TBSI4</t>
  </si>
  <si>
    <t xml:space="preserve">PSV-61301A</t>
  </si>
  <si>
    <t xml:space="preserve">PSV-61301A_DI_1</t>
  </si>
  <si>
    <t xml:space="preserve">PSV-61301B</t>
  </si>
  <si>
    <t xml:space="preserve">PSV-61301B_DI_1</t>
  </si>
  <si>
    <t xml:space="preserve">ZS-61310</t>
  </si>
  <si>
    <t xml:space="preserve">ZS-61310_DI_1</t>
  </si>
  <si>
    <t xml:space="preserve">ZS-61311</t>
  </si>
  <si>
    <t xml:space="preserve">ZS-61311_DI_1</t>
  </si>
  <si>
    <t xml:space="preserve">XA-60201</t>
  </si>
  <si>
    <t xml:space="preserve">XA-60201_DO_1</t>
  </si>
  <si>
    <t xml:space="preserve">PNF-HiC2871</t>
  </si>
  <si>
    <t xml:space="preserve">Empty</t>
  </si>
  <si>
    <t xml:space="preserve">PT-60230</t>
  </si>
  <si>
    <t xml:space="preserve">PT-60230_AI_1</t>
  </si>
  <si>
    <t xml:space="preserve">Pressure Transmitter</t>
  </si>
  <si>
    <t xml:space="preserve">PNF-HiC2025</t>
  </si>
  <si>
    <t xml:space="preserve">PT-60231</t>
  </si>
  <si>
    <t xml:space="preserve">PT-60231_AI_1</t>
  </si>
  <si>
    <t xml:space="preserve">TT-60224</t>
  </si>
  <si>
    <t xml:space="preserve">TT-60224_AI_1</t>
  </si>
  <si>
    <t xml:space="preserve">Temperature Transmitter</t>
  </si>
  <si>
    <t xml:space="preserve">TT-60225</t>
  </si>
  <si>
    <t xml:space="preserve">TT-60225_AI_1</t>
  </si>
  <si>
    <t xml:space="preserve">TT-60226</t>
  </si>
  <si>
    <t xml:space="preserve">TT-60226_AI_1</t>
  </si>
  <si>
    <t xml:space="preserve">TT-60227</t>
  </si>
  <si>
    <t xml:space="preserve">TT-60227_AI_1</t>
  </si>
  <si>
    <t xml:space="preserve">TT-60230</t>
  </si>
  <si>
    <t xml:space="preserve">TT-60230_AI_1</t>
  </si>
  <si>
    <t xml:space="preserve">DPT-61310</t>
  </si>
  <si>
    <t xml:space="preserve">DPT-61310_AI_1</t>
  </si>
  <si>
    <t xml:space="preserve">Differential Pressure Transmitte</t>
  </si>
  <si>
    <t xml:space="preserve"> </t>
  </si>
  <si>
    <t xml:space="preserve">DPT-61312</t>
  </si>
  <si>
    <t xml:space="preserve">DPT-61312_AI_1</t>
  </si>
  <si>
    <t xml:space="preserve">Differential Pressure Transmitter</t>
  </si>
  <si>
    <t xml:space="preserve">TBSI5</t>
  </si>
  <si>
    <t xml:space="preserve">PT-60220</t>
  </si>
  <si>
    <t xml:space="preserve">PT-60220_AI_1</t>
  </si>
  <si>
    <t xml:space="preserve">TT-60220</t>
  </si>
  <si>
    <t xml:space="preserve">TT-60220_AI_1</t>
  </si>
  <si>
    <t xml:space="preserve">TT-60221</t>
  </si>
  <si>
    <t xml:space="preserve">TT-60221_AI_1</t>
  </si>
  <si>
    <t xml:space="preserve">TT-60222</t>
  </si>
  <si>
    <t xml:space="preserve">TT-60222_AI_1</t>
  </si>
  <si>
    <t xml:space="preserve">TT-60223</t>
  </si>
  <si>
    <t xml:space="preserve">TT-60223_AI_1</t>
  </si>
  <si>
    <t xml:space="preserve">XT-60201</t>
  </si>
  <si>
    <t xml:space="preserve">XT-60201_AI_1</t>
  </si>
  <si>
    <t xml:space="preserve">Speed / Position Transmitter</t>
  </si>
  <si>
    <t xml:space="preserve">DPT-61301</t>
  </si>
  <si>
    <t xml:space="preserve">DPT-61301_AI_1</t>
  </si>
  <si>
    <t xml:space="preserve">DPT-61302</t>
  </si>
  <si>
    <t xml:space="preserve">DPT-61302_AI_1</t>
  </si>
  <si>
    <t xml:space="preserve">LT-61301</t>
  </si>
  <si>
    <t xml:space="preserve">LT-61301_AI_1</t>
  </si>
  <si>
    <t xml:space="preserve">Level Transmitter</t>
  </si>
  <si>
    <t xml:space="preserve">PT-61301</t>
  </si>
  <si>
    <t xml:space="preserve">PT-61301_AI_1</t>
  </si>
  <si>
    <t xml:space="preserve">PT-61303</t>
  </si>
  <si>
    <t xml:space="preserve">PT-61303_AI_1</t>
  </si>
  <si>
    <t xml:space="preserve">PT-61304</t>
  </si>
  <si>
    <t xml:space="preserve">PT-61304_AI_1</t>
  </si>
  <si>
    <t xml:space="preserve">PT-61305</t>
  </si>
  <si>
    <t xml:space="preserve">PT-61305_AI_1</t>
  </si>
  <si>
    <t xml:space="preserve">TT-61301</t>
  </si>
  <si>
    <t xml:space="preserve">TT-61301_AI_1</t>
  </si>
  <si>
    <t xml:space="preserve">TT-61302</t>
  </si>
  <si>
    <t xml:space="preserve">TT-61302_AI_1</t>
  </si>
  <si>
    <t xml:space="preserve">Column1</t>
  </si>
  <si>
    <t xml:space="preserve">Column3</t>
  </si>
  <si>
    <t xml:space="preserve">Column13</t>
  </si>
  <si>
    <t xml:space="preserve">Column9</t>
  </si>
  <si>
    <t xml:space="preserve">Column10</t>
  </si>
  <si>
    <t xml:space="preserve">P1</t>
  </si>
  <si>
    <t xml:space="preserve">C1S4</t>
  </si>
  <si>
    <t xml:space="preserve">CA1</t>
  </si>
  <si>
    <t xml:space="preserve">Spare</t>
  </si>
  <si>
    <t xml:space="preserve">Spare_DI_0</t>
  </si>
  <si>
    <t xml:space="preserve">Spare Reserve Channel</t>
  </si>
  <si>
    <t xml:space="preserve">TBDI1</t>
  </si>
  <si>
    <t xml:space="preserve">P1-TBDI1</t>
  </si>
  <si>
    <t xml:space="preserve">1756-IB32</t>
  </si>
  <si>
    <t xml:space="preserve">SPARE</t>
  </si>
  <si>
    <t xml:space="preserve">JB-401</t>
  </si>
  <si>
    <t xml:space="preserve">FSL-40201</t>
  </si>
  <si>
    <t xml:space="preserve">FSL-40201_DI_1</t>
  </si>
  <si>
    <t xml:space="preserve">Flow Switch</t>
  </si>
  <si>
    <t xml:space="preserve">FSL-40202</t>
  </si>
  <si>
    <t xml:space="preserve">FSL-40202_DI_1</t>
  </si>
  <si>
    <t xml:space="preserve">FT-40201</t>
  </si>
  <si>
    <t xml:space="preserve">FT-40201_DI_1</t>
  </si>
  <si>
    <t xml:space="preserve">Coriolis Flow Transmitter</t>
  </si>
  <si>
    <t xml:space="preserve">FT-40202</t>
  </si>
  <si>
    <t xml:space="preserve">FT-40202_DI_1</t>
  </si>
  <si>
    <t xml:space="preserve">Magnetic Flow Transmitter</t>
  </si>
  <si>
    <t xml:space="preserve">HV-40201</t>
  </si>
  <si>
    <t xml:space="preserve">HV-40201_DI_1</t>
  </si>
  <si>
    <t xml:space="preserve">Manual Valve With Position Switch</t>
  </si>
  <si>
    <t xml:space="preserve">HV-40202</t>
  </si>
  <si>
    <t xml:space="preserve">HV-40202_DI_1</t>
  </si>
  <si>
    <t xml:space="preserve">HV-40203</t>
  </si>
  <si>
    <t xml:space="preserve">HV-40203_DI_1</t>
  </si>
  <si>
    <t xml:space="preserve">HV-40204</t>
  </si>
  <si>
    <t xml:space="preserve">HV-40204_DI_1</t>
  </si>
  <si>
    <t xml:space="preserve">HV-40205</t>
  </si>
  <si>
    <t xml:space="preserve">HV-40205_DI_1</t>
  </si>
  <si>
    <t xml:space="preserve">HV-40206</t>
  </si>
  <si>
    <t xml:space="preserve">HV-40206_DI_1</t>
  </si>
  <si>
    <t xml:space="preserve">XV-40201A</t>
  </si>
  <si>
    <t xml:space="preserve">XV-40201A_DI_1</t>
  </si>
  <si>
    <t xml:space="preserve">Control Valve Position Feedback</t>
  </si>
  <si>
    <t xml:space="preserve">XV-40201A_DI_2</t>
  </si>
  <si>
    <t xml:space="preserve">XV-40201B</t>
  </si>
  <si>
    <t xml:space="preserve">XV-40201B_DI_1</t>
  </si>
  <si>
    <t xml:space="preserve">XV-40201B_DI_2</t>
  </si>
  <si>
    <t xml:space="preserve">XV-40201C</t>
  </si>
  <si>
    <t xml:space="preserve">XV-40201C_DI_1</t>
  </si>
  <si>
    <t xml:space="preserve">XV-40201C_DI_2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</si>
</sst>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0"/>
      <color theme="1"/>
      <name val="Sarabun Regular"/>
      <family val="0"/>
      <charset val="1"/>
    </font>
    <font>
      <sz val="12"/>
      <color rgb="FF006100"/>
      <name val="Aptos Narrow"/>
      <family val="2"/>
      <charset val="1"/>
    </font>
    <font>
      <sz val="10"/>
      <name val="Sarabun Regular"/>
      <family val="0"/>
      <charset val="1"/>
    </font>
    <font>
      <sz val="10"/>
      <color rgb="FF334155"/>
      <name val="Sarabun Regular"/>
      <family val="0"/>
      <charset val="1"/>
    </font>
    <font>
      <sz val="10"/>
      <color rgb="FF14532D"/>
      <name val="Sarabun Regular"/>
      <family val="0"/>
      <charset val="1"/>
    </font>
    <font>
      <b val="true"/>
      <sz val="10"/>
      <color rgb="FFFFFFFF"/>
      <name val="Sarabun Regular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1F4E79"/>
        <bgColor rgb="FF15608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5">
    <dxf>
      <fill>
        <patternFill patternType="solid">
          <fgColor rgb="FFC6EF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334155"/>
          <bgColor rgb="FF000000"/>
        </patternFill>
      </fill>
    </dxf>
    <dxf>
      <fill>
        <patternFill patternType="solid">
          <fgColor rgb="FF14532D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8" type="wholeTable"/>
      <tableStyleElement dxfId="9" type="firstColumnStripe"/>
      <tableStyleElement dxfId="10" type="firstRowStripe"/>
      <tableStyleElement dxfId="11" type="lastColumn"/>
      <tableStyleElement dxfId="12" type="firstColumn"/>
      <tableStyleElement dxfId="13" type="headerRow"/>
      <tableStyleElement dxfId="14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56082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4532D"/>
      <rgbColor rgb="FF333300"/>
      <rgbColor rgb="FF993300"/>
      <rgbColor rgb="FF993366"/>
      <rgbColor rgb="FF1F4E7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AC164" headerRowCount="1" totalsRowCount="0" totalsRowShown="0">
  <autoFilter ref="A2:AC164"/>
  <tableColumns count="29">
    <tableColumn id="1" name="Panel _ID"/>
    <tableColumn id="2" name="Slot Config"/>
    <tableColumn id="3" name="Source Terminal"/>
    <tableColumn id="4" name="Terminal Number"/>
    <tableColumn id="5" name="Column11"/>
    <tableColumn id="6" name="Column12"/>
    <tableColumn id="7" name="Need Mark"/>
    <tableColumn id="8" name="Tag-Panel Side (Right)"/>
    <tableColumn id="9" name="Tag Terminal Side (Left)"/>
    <tableColumn id="10" name="Column6"/>
    <tableColumn id="11" name="Column2"/>
    <tableColumn id="12" name="Junction Box Terminal"/>
    <tableColumn id="13" name="Column42"/>
    <tableColumn id="14" name="Column43"/>
    <tableColumn id="15" name="Column44"/>
    <tableColumn id="16" name="Column45"/>
    <tableColumn id="17" name="Column46"/>
    <tableColumn id="18" name="Junction Box"/>
    <tableColumn id="19" name="Instruement"/>
    <tableColumn id="20" name="Instruement _IO"/>
    <tableColumn id="21" name="Intruement Terminal"/>
    <tableColumn id="22" name="Column19"/>
    <tableColumn id="23" name="Column4"/>
    <tableColumn id="24" name="Junction Master Terminal Box"/>
    <tableColumn id="25" name="Junction Box Terminal Model"/>
    <tableColumn id="26" name="Item"/>
    <tableColumn id="27" name="Column5"/>
    <tableColumn id="28" name="Column7"/>
    <tableColumn id="29" name="Column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Sheet1" displayName="Table_Sheet1" ref="A1:X65" headerRowCount="1" totalsRowCount="0" totalsRowShown="0">
  <autoFilter ref="A1:X65"/>
  <tableColumns count="24">
    <tableColumn id="1" name="Column1"/>
    <tableColumn id="2" name="Column3"/>
    <tableColumn id="3" name="Column13"/>
    <tableColumn id="4" name="Need Mark"/>
    <tableColumn id="5" name="Slot Config"/>
    <tableColumn id="6" name="Column9"/>
    <tableColumn id="7" name="Column10"/>
    <tableColumn id="8" name="Column11"/>
    <tableColumn id="9" name="Column12"/>
    <tableColumn id="10" name="Tag-Panel Side (Right)"/>
    <tableColumn id="11" name="Tag Terminal Side (Left)"/>
    <tableColumn id="12" name="Junction Box"/>
    <tableColumn id="13" name="Instruement"/>
    <tableColumn id="14" name="Instruement _IO"/>
    <tableColumn id="15" name="Intruement Terminal"/>
    <tableColumn id="16" name="Column19"/>
    <tableColumn id="17" name="Junction Box Terminal"/>
    <tableColumn id="18" name="Column2"/>
    <tableColumn id="19" name="Junction Master Terminal Box"/>
    <tableColumn id="20" name="Junction Box Terminal Model"/>
    <tableColumn id="21" name="Item"/>
    <tableColumn id="22" name="Column5"/>
    <tableColumn id="23" name="Column7"/>
    <tableColumn id="24" name="Column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74"/>
  <sheetViews>
    <sheetView showFormulas="false" showGridLines="true" showRowColHeaders="true" showZeros="true" rightToLeft="false" tabSelected="true" showOutlineSymbols="true" defaultGridColor="true" view="normal" topLeftCell="A32" colorId="64" zoomScale="117" zoomScaleNormal="117" zoomScalePageLayoutView="100" workbookViewId="0">
      <selection pane="topLeft" activeCell="G37" activeCellId="0" sqref="G37"/>
    </sheetView>
  </sheetViews>
  <sheetFormatPr defaultColWidth="10.83203125" defaultRowHeight="15.75" customHeight="false" zeroHeight="false" outlineLevelRow="0" outlineLevelCol="0"/>
  <cols>
    <col collapsed="false" customWidth="true" hidden="false" outlineLevel="0" max="1" min="1" style="1" width="11.33"/>
    <col collapsed="false" customWidth="true" hidden="false" outlineLevel="0" max="2" min="2" style="2" width="10.67"/>
    <col collapsed="false" customWidth="true" hidden="false" outlineLevel="0" max="3" min="3" style="1" width="10.5"/>
    <col collapsed="false" customWidth="true" hidden="false" outlineLevel="0" max="4" min="4" style="2" width="26.16"/>
    <col collapsed="false" customWidth="true" hidden="false" outlineLevel="0" max="5" min="5" style="1" width="20.83"/>
    <col collapsed="false" customWidth="true" hidden="false" outlineLevel="0" max="7" min="6" style="1" width="11.5"/>
    <col collapsed="false" customWidth="true" hidden="false" outlineLevel="0" max="8" min="8" style="2" width="26.5"/>
    <col collapsed="false" customWidth="true" hidden="false" outlineLevel="0" max="9" min="9" style="3" width="26.5"/>
    <col collapsed="false" customWidth="true" hidden="false" outlineLevel="0" max="11" min="10" style="1" width="26.5"/>
    <col collapsed="false" customWidth="true" hidden="false" outlineLevel="0" max="12" min="12" style="2" width="10.67"/>
    <col collapsed="false" customWidth="true" hidden="false" outlineLevel="0" max="13" min="13" style="1" width="20.83"/>
    <col collapsed="false" customWidth="true" hidden="false" outlineLevel="0" max="18" min="14" style="1" width="11.5"/>
    <col collapsed="false" customWidth="true" hidden="false" outlineLevel="0" max="19" min="19" style="1" width="13.66"/>
    <col collapsed="false" customWidth="true" hidden="false" outlineLevel="0" max="20" min="20" style="1" width="13"/>
    <col collapsed="false" customWidth="true" hidden="false" outlineLevel="0" max="21" min="21" style="1" width="15.66"/>
    <col collapsed="false" customWidth="true" hidden="false" outlineLevel="0" max="22" min="22" style="2" width="19.83"/>
    <col collapsed="false" customWidth="true" hidden="false" outlineLevel="0" max="23" min="23" style="1" width="25.5"/>
    <col collapsed="false" customWidth="true" hidden="false" outlineLevel="0" max="24" min="24" style="2" width="10.67"/>
    <col collapsed="false" customWidth="true" hidden="false" outlineLevel="0" max="25" min="25" style="1" width="10.5"/>
    <col collapsed="false" customWidth="true" hidden="false" outlineLevel="0" max="26" min="26" style="1" width="26.83"/>
    <col collapsed="false" customWidth="true" hidden="false" outlineLevel="0" max="27" min="27" style="1" width="26.33"/>
    <col collapsed="false" customWidth="true" hidden="false" outlineLevel="0" max="28" min="28" style="1" width="7"/>
    <col collapsed="false" customWidth="true" hidden="false" outlineLevel="0" max="30" min="29" style="1" width="10.5"/>
    <col collapsed="false" customWidth="true" hidden="false" outlineLevel="0" max="31" min="31" style="1" width="11.5"/>
    <col collapsed="false" customWidth="true" hidden="false" outlineLevel="0" max="32" min="32" style="1" width="26"/>
    <col collapsed="false" customWidth="true" hidden="false" outlineLevel="0" max="33" min="33" style="1" width="17.33"/>
    <col collapsed="false" customWidth="true" hidden="false" outlineLevel="0" max="34" min="34" style="1" width="21"/>
    <col collapsed="false" customWidth="true" hidden="false" outlineLevel="0" max="35" min="35" style="1" width="11.33"/>
    <col collapsed="false" customWidth="false" hidden="false" outlineLevel="0" max="16384" min="36" style="1" width="10.83"/>
  </cols>
  <sheetData>
    <row r="1" s="1" customFormat="true" ht="15.75" hidden="false" customHeight="true" outlineLevel="0" collapsed="false">
      <c r="D1" s="3"/>
    </row>
    <row r="2" s="5" customFormat="true" ht="15" hidden="false" customHeight="true" outlineLevel="0" collapsed="false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5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</row>
    <row r="3" customFormat="false" ht="15" hidden="false" customHeight="true" outlineLevel="0" collapsed="false">
      <c r="A3" s="6" t="s">
        <v>29</v>
      </c>
      <c r="B3" s="7" t="s">
        <v>30</v>
      </c>
      <c r="C3" s="8" t="s">
        <v>31</v>
      </c>
      <c r="D3" s="9" t="s">
        <v>32</v>
      </c>
      <c r="E3" s="8" t="s">
        <v>33</v>
      </c>
      <c r="F3" s="8" t="s">
        <v>33</v>
      </c>
      <c r="G3" s="6" t="s">
        <v>34</v>
      </c>
      <c r="H3" s="6" t="str">
        <f aca="false">IF(Table2[[#This Row],[Need Mark]]="Y",C3&amp;"-"&amp;D3&amp;"/"&amp;L3,"-")</f>
        <v>TB-24VDC-2(1)/P4-TBSI1-M1(11)</v>
      </c>
      <c r="I3" s="6" t="str">
        <f aca="false">IF(Table2[[#This Row],[Need Mark]]="Y",L3&amp;"/"&amp;C3&amp;"-"&amp;D3,"-")</f>
        <v>P4-TBSI1-M1(11)/TB-24VDC-2(1)</v>
      </c>
      <c r="J3" s="6"/>
      <c r="K3" s="6" t="s">
        <v>35</v>
      </c>
      <c r="L3" s="6" t="str">
        <f aca="false">A3&amp;"-"&amp;K3&amp;"-"&amp;Z3&amp;"("&amp;Table2[[#This Row],[Column5]]&amp;")"</f>
        <v>P4-TBSI1-M1(11)</v>
      </c>
      <c r="M3" s="6"/>
      <c r="N3" s="6"/>
      <c r="O3" s="6"/>
      <c r="P3" s="6"/>
      <c r="Q3" s="6"/>
      <c r="R3" s="1" t="s">
        <v>36</v>
      </c>
      <c r="S3" s="1" t="s">
        <v>37</v>
      </c>
      <c r="T3" s="1" t="s">
        <v>38</v>
      </c>
      <c r="U3" s="1" t="n">
        <v>1</v>
      </c>
      <c r="V3" s="1" t="s">
        <v>39</v>
      </c>
      <c r="X3" s="6" t="s">
        <v>40</v>
      </c>
      <c r="Y3" s="6" t="s">
        <v>41</v>
      </c>
      <c r="Z3" s="6" t="str">
        <f aca="false">Z4</f>
        <v>M1</v>
      </c>
      <c r="AA3" s="6" t="n">
        <v>11</v>
      </c>
      <c r="AC3" s="1" t="s">
        <v>42</v>
      </c>
    </row>
    <row r="4" customFormat="false" ht="15" hidden="false" customHeight="true" outlineLevel="0" collapsed="false">
      <c r="A4" s="6" t="s">
        <v>29</v>
      </c>
      <c r="B4" s="7" t="s">
        <v>30</v>
      </c>
      <c r="C4" s="8" t="s">
        <v>30</v>
      </c>
      <c r="D4" s="9" t="n">
        <v>1</v>
      </c>
      <c r="E4" s="8" t="s">
        <v>43</v>
      </c>
      <c r="F4" s="6" t="s">
        <v>44</v>
      </c>
      <c r="G4" s="6" t="s">
        <v>34</v>
      </c>
      <c r="H4" s="6" t="str">
        <f aca="false">IF(Table2[[#This Row],[Need Mark]]="Y",C4&amp;"-"&amp;D4&amp;"/"&amp;L4,"-")</f>
        <v>C4S1-1/P4-TBSI1-M1(14)</v>
      </c>
      <c r="I4" s="6" t="str">
        <f aca="false">IF(Table2[[#This Row],[Need Mark]]="Y",L4&amp;"/"&amp;C4&amp;"-"&amp;D4,"-")</f>
        <v>P4-TBSI1-M1(14)/C4S1-1</v>
      </c>
      <c r="J4" s="6"/>
      <c r="K4" s="6" t="s">
        <v>35</v>
      </c>
      <c r="L4" s="6" t="str">
        <f aca="false">A4&amp;"-"&amp;K4&amp;"-"&amp;Z4&amp;"("&amp;Table2[[#This Row],[Column5]]&amp;")"</f>
        <v>P4-TBSI1-M1(14)</v>
      </c>
      <c r="M4" s="6"/>
      <c r="N4" s="6"/>
      <c r="O4" s="6"/>
      <c r="P4" s="6"/>
      <c r="Q4" s="6"/>
      <c r="R4" s="6" t="s">
        <v>36</v>
      </c>
      <c r="S4" s="6" t="s">
        <v>37</v>
      </c>
      <c r="T4" s="6" t="s">
        <v>38</v>
      </c>
      <c r="U4" s="6" t="n">
        <v>2</v>
      </c>
      <c r="V4" s="6" t="s">
        <v>39</v>
      </c>
      <c r="X4" s="6" t="s">
        <v>40</v>
      </c>
      <c r="Y4" s="6" t="s">
        <v>41</v>
      </c>
      <c r="Z4" s="6" t="s">
        <v>45</v>
      </c>
      <c r="AA4" s="6" t="n">
        <v>14</v>
      </c>
      <c r="AB4" s="6"/>
      <c r="AC4" s="10" t="s">
        <v>42</v>
      </c>
    </row>
    <row r="5" customFormat="false" ht="15" hidden="false" customHeight="true" outlineLevel="0" collapsed="false">
      <c r="A5" s="6" t="s">
        <v>29</v>
      </c>
      <c r="B5" s="7" t="s">
        <v>30</v>
      </c>
      <c r="C5" s="8" t="s">
        <v>31</v>
      </c>
      <c r="D5" s="9" t="s">
        <v>32</v>
      </c>
      <c r="E5" s="8" t="s">
        <v>33</v>
      </c>
      <c r="F5" s="8" t="s">
        <v>33</v>
      </c>
      <c r="G5" s="6"/>
      <c r="H5" s="6" t="str">
        <f aca="false">IF(Table2[[#This Row],[Need Mark]]="Y",C5&amp;"-"&amp;D5&amp;"/"&amp;L5,"-")</f>
        <v>-</v>
      </c>
      <c r="I5" s="6" t="str">
        <f aca="false">IF(Table2[[#This Row],[Need Mark]]="Y",L5&amp;"/"&amp;C5&amp;"-"&amp;D5,"-")</f>
        <v>-</v>
      </c>
      <c r="J5" s="6"/>
      <c r="K5" s="6" t="s">
        <v>35</v>
      </c>
      <c r="L5" s="6" t="str">
        <f aca="false">A5&amp;"-"&amp;K5&amp;"-"&amp;Z5&amp;"("&amp;Table2[[#This Row],[Column5]]&amp;")"</f>
        <v>P4-TBSI1-M2(11)</v>
      </c>
      <c r="M5" s="6"/>
      <c r="N5" s="6"/>
      <c r="O5" s="6"/>
      <c r="P5" s="6"/>
      <c r="Q5" s="6"/>
      <c r="R5" s="1" t="s">
        <v>36</v>
      </c>
      <c r="S5" s="1" t="s">
        <v>46</v>
      </c>
      <c r="T5" s="1" t="s">
        <v>47</v>
      </c>
      <c r="U5" s="1" t="n">
        <v>1</v>
      </c>
      <c r="V5" s="1" t="s">
        <v>39</v>
      </c>
      <c r="X5" s="6" t="s">
        <v>40</v>
      </c>
      <c r="Y5" s="6" t="s">
        <v>41</v>
      </c>
      <c r="Z5" s="6" t="str">
        <f aca="false">Z6</f>
        <v>M2</v>
      </c>
      <c r="AA5" s="6" t="n">
        <v>11</v>
      </c>
      <c r="AC5" s="1" t="s">
        <v>42</v>
      </c>
    </row>
    <row r="6" customFormat="false" ht="15" hidden="false" customHeight="true" outlineLevel="0" collapsed="false">
      <c r="A6" s="6" t="s">
        <v>29</v>
      </c>
      <c r="B6" s="7" t="s">
        <v>30</v>
      </c>
      <c r="C6" s="8" t="s">
        <v>30</v>
      </c>
      <c r="D6" s="9" t="n">
        <v>2</v>
      </c>
      <c r="E6" s="8" t="s">
        <v>43</v>
      </c>
      <c r="F6" s="6" t="s">
        <v>48</v>
      </c>
      <c r="G6" s="6" t="s">
        <v>34</v>
      </c>
      <c r="H6" s="6" t="str">
        <f aca="false">IF(Table2[[#This Row],[Need Mark]]="Y",C6&amp;"-"&amp;D6&amp;"/"&amp;L6,"-")</f>
        <v>C4S1-2/P4-TBSI1-M2(14)</v>
      </c>
      <c r="I6" s="6" t="str">
        <f aca="false">IF(Table2[[#This Row],[Need Mark]]="Y",L6&amp;"/"&amp;C6&amp;"-"&amp;D6,"-")</f>
        <v>P4-TBSI1-M2(14)/C4S1-2</v>
      </c>
      <c r="J6" s="6"/>
      <c r="K6" s="6" t="s">
        <v>35</v>
      </c>
      <c r="L6" s="6" t="str">
        <f aca="false">A6&amp;"-"&amp;K6&amp;"-"&amp;Z6&amp;"("&amp;Table2[[#This Row],[Column5]]&amp;")"</f>
        <v>P4-TBSI1-M2(14)</v>
      </c>
      <c r="M6" s="6"/>
      <c r="N6" s="6"/>
      <c r="O6" s="6"/>
      <c r="P6" s="6"/>
      <c r="Q6" s="6"/>
      <c r="R6" s="6" t="s">
        <v>36</v>
      </c>
      <c r="S6" s="6" t="s">
        <v>46</v>
      </c>
      <c r="T6" s="6" t="s">
        <v>47</v>
      </c>
      <c r="U6" s="6" t="n">
        <v>2</v>
      </c>
      <c r="V6" s="6" t="s">
        <v>39</v>
      </c>
      <c r="X6" s="6" t="s">
        <v>40</v>
      </c>
      <c r="Y6" s="6" t="s">
        <v>41</v>
      </c>
      <c r="Z6" s="6" t="s">
        <v>49</v>
      </c>
      <c r="AA6" s="6" t="n">
        <v>14</v>
      </c>
      <c r="AB6" s="6"/>
      <c r="AC6" s="10" t="s">
        <v>42</v>
      </c>
    </row>
    <row r="7" customFormat="false" ht="15" hidden="false" customHeight="true" outlineLevel="0" collapsed="false">
      <c r="A7" s="6" t="s">
        <v>29</v>
      </c>
      <c r="B7" s="7" t="s">
        <v>30</v>
      </c>
      <c r="C7" s="8" t="s">
        <v>31</v>
      </c>
      <c r="D7" s="9" t="s">
        <v>32</v>
      </c>
      <c r="E7" s="8" t="s">
        <v>33</v>
      </c>
      <c r="F7" s="6" t="s">
        <v>33</v>
      </c>
      <c r="G7" s="6"/>
      <c r="H7" s="6" t="str">
        <f aca="false">IF(Table2[[#This Row],[Need Mark]]="Y",C7&amp;"-"&amp;D7&amp;"/"&amp;L7,"-")</f>
        <v>-</v>
      </c>
      <c r="I7" s="6" t="str">
        <f aca="false">IF(Table2[[#This Row],[Need Mark]]="Y",L7&amp;"/"&amp;C7&amp;"-"&amp;D7,"-")</f>
        <v>-</v>
      </c>
      <c r="J7" s="6"/>
      <c r="K7" s="6" t="s">
        <v>35</v>
      </c>
      <c r="L7" s="6" t="str">
        <f aca="false">A7&amp;"-"&amp;K7&amp;"-"&amp;Z7&amp;"("&amp;Table2[[#This Row],[Column5]]&amp;")"</f>
        <v>P4-TBSI1-M2(11)</v>
      </c>
      <c r="M7" s="6"/>
      <c r="N7" s="6"/>
      <c r="O7" s="6"/>
      <c r="P7" s="6"/>
      <c r="Q7" s="6"/>
      <c r="R7" s="6" t="s">
        <v>36</v>
      </c>
      <c r="S7" s="6" t="s">
        <v>50</v>
      </c>
      <c r="T7" s="6" t="s">
        <v>51</v>
      </c>
      <c r="U7" s="1" t="n">
        <v>1</v>
      </c>
      <c r="V7" s="6" t="s">
        <v>39</v>
      </c>
      <c r="X7" s="6" t="s">
        <v>40</v>
      </c>
      <c r="Y7" s="6" t="s">
        <v>41</v>
      </c>
      <c r="Z7" s="6" t="str">
        <f aca="false">Z8</f>
        <v>M2</v>
      </c>
      <c r="AA7" s="6" t="n">
        <v>11</v>
      </c>
      <c r="AB7" s="6"/>
      <c r="AC7" s="10" t="s">
        <v>42</v>
      </c>
    </row>
    <row r="8" customFormat="false" ht="15" hidden="false" customHeight="true" outlineLevel="0" collapsed="false">
      <c r="A8" s="6" t="s">
        <v>29</v>
      </c>
      <c r="B8" s="7" t="s">
        <v>30</v>
      </c>
      <c r="C8" s="8" t="s">
        <v>30</v>
      </c>
      <c r="D8" s="9" t="n">
        <v>3</v>
      </c>
      <c r="E8" s="8" t="s">
        <v>43</v>
      </c>
      <c r="F8" s="8" t="s">
        <v>52</v>
      </c>
      <c r="G8" s="6" t="s">
        <v>34</v>
      </c>
      <c r="H8" s="6" t="str">
        <f aca="false">IF(Table2[[#This Row],[Need Mark]]="Y",C8&amp;"-"&amp;D8&amp;"/"&amp;L8,"-")</f>
        <v>C4S1-3/P4-TBSI1-M2(14)</v>
      </c>
      <c r="I8" s="6" t="str">
        <f aca="false">IF(Table2[[#This Row],[Need Mark]]="Y",L8&amp;"/"&amp;C8&amp;"-"&amp;D8,"-")</f>
        <v>P4-TBSI1-M2(14)/C4S1-3</v>
      </c>
      <c r="J8" s="6"/>
      <c r="K8" s="6" t="s">
        <v>35</v>
      </c>
      <c r="L8" s="6" t="str">
        <f aca="false">A8&amp;"-"&amp;K8&amp;"-"&amp;Z8&amp;"("&amp;Table2[[#This Row],[Column5]]&amp;")"</f>
        <v>P4-TBSI1-M2(14)</v>
      </c>
      <c r="M8" s="6"/>
      <c r="N8" s="6"/>
      <c r="O8" s="6"/>
      <c r="P8" s="6"/>
      <c r="Q8" s="6"/>
      <c r="R8" s="1" t="s">
        <v>36</v>
      </c>
      <c r="S8" s="1" t="s">
        <v>50</v>
      </c>
      <c r="T8" s="1" t="s">
        <v>51</v>
      </c>
      <c r="U8" s="6" t="n">
        <v>2</v>
      </c>
      <c r="V8" s="1" t="s">
        <v>39</v>
      </c>
      <c r="X8" s="6" t="s">
        <v>40</v>
      </c>
      <c r="Y8" s="6" t="s">
        <v>41</v>
      </c>
      <c r="Z8" s="6" t="s">
        <v>49</v>
      </c>
      <c r="AA8" s="6" t="n">
        <v>14</v>
      </c>
      <c r="AC8" s="1" t="s">
        <v>42</v>
      </c>
    </row>
    <row r="9" customFormat="false" ht="15" hidden="false" customHeight="true" outlineLevel="0" collapsed="false">
      <c r="A9" s="6" t="s">
        <v>29</v>
      </c>
      <c r="B9" s="7" t="s">
        <v>30</v>
      </c>
      <c r="C9" s="8" t="s">
        <v>31</v>
      </c>
      <c r="D9" s="9" t="s">
        <v>32</v>
      </c>
      <c r="E9" s="8" t="s">
        <v>33</v>
      </c>
      <c r="F9" s="6" t="s">
        <v>33</v>
      </c>
      <c r="G9" s="6"/>
      <c r="H9" s="6" t="str">
        <f aca="false">IF(Table2[[#This Row],[Need Mark]]="Y",C9&amp;"-"&amp;D9&amp;"/"&amp;L9,"-")</f>
        <v>-</v>
      </c>
      <c r="I9" s="6" t="str">
        <f aca="false">IF(Table2[[#This Row],[Need Mark]]="Y",L9&amp;"/"&amp;C9&amp;"-"&amp;D9,"-")</f>
        <v>-</v>
      </c>
      <c r="J9" s="6"/>
      <c r="K9" s="6" t="s">
        <v>35</v>
      </c>
      <c r="L9" s="6" t="str">
        <f aca="false">A9&amp;"-"&amp;K9&amp;"-"&amp;Z9&amp;"("&amp;Table2[[#This Row],[Column5]]&amp;")"</f>
        <v>P4-TBSI1-M3(11)</v>
      </c>
      <c r="M9" s="6"/>
      <c r="N9" s="6"/>
      <c r="O9" s="6"/>
      <c r="P9" s="6"/>
      <c r="Q9" s="6"/>
      <c r="R9" s="6" t="s">
        <v>36</v>
      </c>
      <c r="S9" s="6" t="s">
        <v>53</v>
      </c>
      <c r="T9" s="6" t="s">
        <v>54</v>
      </c>
      <c r="U9" s="1" t="n">
        <v>1</v>
      </c>
      <c r="V9" s="6" t="s">
        <v>39</v>
      </c>
      <c r="X9" s="6" t="s">
        <v>40</v>
      </c>
      <c r="Y9" s="6" t="s">
        <v>41</v>
      </c>
      <c r="Z9" s="6" t="str">
        <f aca="false">Z10</f>
        <v>M3</v>
      </c>
      <c r="AA9" s="6" t="n">
        <v>11</v>
      </c>
      <c r="AB9" s="6"/>
      <c r="AC9" s="10" t="s">
        <v>42</v>
      </c>
    </row>
    <row r="10" customFormat="false" ht="15" hidden="false" customHeight="true" outlineLevel="0" collapsed="false">
      <c r="A10" s="6" t="s">
        <v>29</v>
      </c>
      <c r="B10" s="7" t="s">
        <v>30</v>
      </c>
      <c r="C10" s="8" t="s">
        <v>30</v>
      </c>
      <c r="D10" s="9" t="n">
        <v>4</v>
      </c>
      <c r="E10" s="8" t="s">
        <v>43</v>
      </c>
      <c r="F10" s="8" t="s">
        <v>55</v>
      </c>
      <c r="G10" s="6" t="s">
        <v>34</v>
      </c>
      <c r="H10" s="6" t="str">
        <f aca="false">IF(Table2[[#This Row],[Need Mark]]="Y",C10&amp;"-"&amp;D10&amp;"/"&amp;L10,"-")</f>
        <v>C4S1-4/P4-TBSI1-M3(14)</v>
      </c>
      <c r="I10" s="6" t="str">
        <f aca="false">IF(Table2[[#This Row],[Need Mark]]="Y",L10&amp;"/"&amp;C10&amp;"-"&amp;D10,"-")</f>
        <v>P4-TBSI1-M3(14)/C4S1-4</v>
      </c>
      <c r="J10" s="6"/>
      <c r="K10" s="6" t="s">
        <v>35</v>
      </c>
      <c r="L10" s="6" t="str">
        <f aca="false">A10&amp;"-"&amp;K10&amp;"-"&amp;Z10&amp;"("&amp;Table2[[#This Row],[Column5]]&amp;")"</f>
        <v>P4-TBSI1-M3(14)</v>
      </c>
      <c r="M10" s="6"/>
      <c r="N10" s="6"/>
      <c r="O10" s="6"/>
      <c r="P10" s="6"/>
      <c r="Q10" s="6"/>
      <c r="R10" s="1" t="s">
        <v>36</v>
      </c>
      <c r="S10" s="1" t="s">
        <v>53</v>
      </c>
      <c r="T10" s="1" t="s">
        <v>54</v>
      </c>
      <c r="U10" s="6" t="n">
        <v>2</v>
      </c>
      <c r="V10" s="1" t="s">
        <v>39</v>
      </c>
      <c r="X10" s="6" t="s">
        <v>40</v>
      </c>
      <c r="Y10" s="6" t="s">
        <v>41</v>
      </c>
      <c r="Z10" s="6" t="s">
        <v>56</v>
      </c>
      <c r="AA10" s="6" t="n">
        <v>14</v>
      </c>
      <c r="AC10" s="1" t="s">
        <v>42</v>
      </c>
    </row>
    <row r="11" customFormat="false" ht="15" hidden="false" customHeight="true" outlineLevel="0" collapsed="false">
      <c r="A11" s="6" t="s">
        <v>29</v>
      </c>
      <c r="B11" s="7" t="s">
        <v>30</v>
      </c>
      <c r="C11" s="8" t="s">
        <v>31</v>
      </c>
      <c r="D11" s="9" t="s">
        <v>32</v>
      </c>
      <c r="E11" s="8" t="s">
        <v>33</v>
      </c>
      <c r="F11" s="6" t="s">
        <v>33</v>
      </c>
      <c r="G11" s="6"/>
      <c r="H11" s="6" t="str">
        <f aca="false">IF(Table2[[#This Row],[Need Mark]]="Y",C11&amp;"-"&amp;D11&amp;"/"&amp;L11,"-")</f>
        <v>-</v>
      </c>
      <c r="I11" s="6" t="str">
        <f aca="false">IF(Table2[[#This Row],[Need Mark]]="Y",L11&amp;"/"&amp;C11&amp;"-"&amp;D11,"-")</f>
        <v>-</v>
      </c>
      <c r="J11" s="6"/>
      <c r="K11" s="6" t="s">
        <v>35</v>
      </c>
      <c r="L11" s="6" t="str">
        <f aca="false">A11&amp;"-"&amp;K11&amp;"-"&amp;Z11&amp;"("&amp;Table2[[#This Row],[Column5]]&amp;")"</f>
        <v>P4-TBSI1-M5(11)</v>
      </c>
      <c r="M11" s="6"/>
      <c r="N11" s="6"/>
      <c r="O11" s="6"/>
      <c r="P11" s="6"/>
      <c r="Q11" s="6"/>
      <c r="R11" s="6" t="s">
        <v>36</v>
      </c>
      <c r="S11" s="6" t="s">
        <v>57</v>
      </c>
      <c r="T11" s="6" t="s">
        <v>58</v>
      </c>
      <c r="U11" s="1" t="n">
        <v>1</v>
      </c>
      <c r="V11" s="6" t="s">
        <v>39</v>
      </c>
      <c r="X11" s="6" t="s">
        <v>40</v>
      </c>
      <c r="Y11" s="6" t="s">
        <v>41</v>
      </c>
      <c r="Z11" s="6" t="str">
        <f aca="false">Z12</f>
        <v>M5</v>
      </c>
      <c r="AA11" s="6" t="n">
        <v>11</v>
      </c>
      <c r="AB11" s="6"/>
      <c r="AC11" s="10" t="s">
        <v>42</v>
      </c>
    </row>
    <row r="12" customFormat="false" ht="15" hidden="false" customHeight="true" outlineLevel="0" collapsed="false">
      <c r="A12" s="6" t="s">
        <v>29</v>
      </c>
      <c r="B12" s="7" t="s">
        <v>30</v>
      </c>
      <c r="C12" s="8" t="s">
        <v>30</v>
      </c>
      <c r="D12" s="9" t="n">
        <v>5</v>
      </c>
      <c r="E12" s="8" t="s">
        <v>43</v>
      </c>
      <c r="F12" s="8" t="s">
        <v>59</v>
      </c>
      <c r="G12" s="6" t="s">
        <v>34</v>
      </c>
      <c r="H12" s="6" t="str">
        <f aca="false">IF(Table2[[#This Row],[Need Mark]]="Y",C12&amp;"-"&amp;D12&amp;"/"&amp;L12,"-")</f>
        <v>C4S1-5/P4-TBSI1-M5(14)</v>
      </c>
      <c r="I12" s="6" t="str">
        <f aca="false">IF(Table2[[#This Row],[Need Mark]]="Y",L12&amp;"/"&amp;C12&amp;"-"&amp;D12,"-")</f>
        <v>P4-TBSI1-M5(14)/C4S1-5</v>
      </c>
      <c r="J12" s="6"/>
      <c r="K12" s="6" t="s">
        <v>35</v>
      </c>
      <c r="L12" s="6" t="str">
        <f aca="false">A12&amp;"-"&amp;K12&amp;"-"&amp;Z12&amp;"("&amp;Table2[[#This Row],[Column5]]&amp;")"</f>
        <v>P4-TBSI1-M5(14)</v>
      </c>
      <c r="M12" s="6"/>
      <c r="N12" s="6"/>
      <c r="O12" s="6"/>
      <c r="P12" s="6"/>
      <c r="Q12" s="6"/>
      <c r="R12" s="1" t="s">
        <v>36</v>
      </c>
      <c r="S12" s="1" t="s">
        <v>57</v>
      </c>
      <c r="T12" s="1" t="s">
        <v>58</v>
      </c>
      <c r="U12" s="6" t="n">
        <v>2</v>
      </c>
      <c r="V12" s="1" t="s">
        <v>39</v>
      </c>
      <c r="X12" s="6" t="s">
        <v>40</v>
      </c>
      <c r="Y12" s="6" t="s">
        <v>41</v>
      </c>
      <c r="Z12" s="6" t="s">
        <v>60</v>
      </c>
      <c r="AA12" s="6" t="n">
        <v>14</v>
      </c>
      <c r="AC12" s="1" t="s">
        <v>42</v>
      </c>
    </row>
    <row r="13" customFormat="false" ht="15" hidden="false" customHeight="true" outlineLevel="0" collapsed="false">
      <c r="A13" s="6" t="s">
        <v>29</v>
      </c>
      <c r="B13" s="7" t="s">
        <v>30</v>
      </c>
      <c r="C13" s="8" t="s">
        <v>31</v>
      </c>
      <c r="D13" s="9" t="s">
        <v>32</v>
      </c>
      <c r="E13" s="8" t="s">
        <v>33</v>
      </c>
      <c r="F13" s="6" t="s">
        <v>33</v>
      </c>
      <c r="G13" s="6"/>
      <c r="H13" s="6" t="str">
        <f aca="false">IF(Table2[[#This Row],[Need Mark]]="Y",C13&amp;"-"&amp;D13&amp;"/"&amp;L13,"-")</f>
        <v>-</v>
      </c>
      <c r="I13" s="6" t="str">
        <f aca="false">IF(Table2[[#This Row],[Need Mark]]="Y",L13&amp;"/"&amp;C13&amp;"-"&amp;D13,"-")</f>
        <v>-</v>
      </c>
      <c r="J13" s="6"/>
      <c r="K13" s="6" t="s">
        <v>35</v>
      </c>
      <c r="L13" s="6" t="str">
        <f aca="false">A13&amp;"-"&amp;K13&amp;"-"&amp;Z13&amp;"("&amp;Table2[[#This Row],[Column5]]&amp;")"</f>
        <v>P4-TBSI1-M6(11)</v>
      </c>
      <c r="M13" s="6"/>
      <c r="N13" s="6"/>
      <c r="O13" s="6"/>
      <c r="P13" s="6"/>
      <c r="Q13" s="6"/>
      <c r="R13" s="6" t="s">
        <v>36</v>
      </c>
      <c r="S13" s="6" t="s">
        <v>61</v>
      </c>
      <c r="T13" s="6" t="s">
        <v>62</v>
      </c>
      <c r="U13" s="1" t="n">
        <v>1</v>
      </c>
      <c r="V13" s="6" t="s">
        <v>39</v>
      </c>
      <c r="X13" s="6" t="s">
        <v>40</v>
      </c>
      <c r="Y13" s="6" t="s">
        <v>41</v>
      </c>
      <c r="Z13" s="6" t="str">
        <f aca="false">Z14</f>
        <v>M6</v>
      </c>
      <c r="AA13" s="6" t="n">
        <v>11</v>
      </c>
      <c r="AB13" s="6"/>
      <c r="AC13" s="10" t="s">
        <v>42</v>
      </c>
    </row>
    <row r="14" customFormat="false" ht="15" hidden="false" customHeight="true" outlineLevel="0" collapsed="false">
      <c r="A14" s="6" t="s">
        <v>29</v>
      </c>
      <c r="B14" s="7" t="s">
        <v>30</v>
      </c>
      <c r="C14" s="8" t="s">
        <v>30</v>
      </c>
      <c r="D14" s="9" t="n">
        <v>6</v>
      </c>
      <c r="E14" s="8" t="s">
        <v>43</v>
      </c>
      <c r="F14" s="8" t="s">
        <v>63</v>
      </c>
      <c r="G14" s="6" t="s">
        <v>34</v>
      </c>
      <c r="H14" s="6" t="str">
        <f aca="false">IF(Table2[[#This Row],[Need Mark]]="Y",C14&amp;"-"&amp;D14&amp;"/"&amp;L14,"-")</f>
        <v>C4S1-6/P4-TBSI1-M6(14)</v>
      </c>
      <c r="I14" s="6" t="str">
        <f aca="false">IF(Table2[[#This Row],[Need Mark]]="Y",L14&amp;"/"&amp;C14&amp;"-"&amp;D14,"-")</f>
        <v>P4-TBSI1-M6(14)/C4S1-6</v>
      </c>
      <c r="J14" s="6"/>
      <c r="K14" s="6" t="s">
        <v>35</v>
      </c>
      <c r="L14" s="6" t="str">
        <f aca="false">A14&amp;"-"&amp;K14&amp;"-"&amp;Z14&amp;"("&amp;Table2[[#This Row],[Column5]]&amp;")"</f>
        <v>P4-TBSI1-M6(14)</v>
      </c>
      <c r="M14" s="6"/>
      <c r="N14" s="6"/>
      <c r="O14" s="6"/>
      <c r="P14" s="6"/>
      <c r="Q14" s="6"/>
      <c r="R14" s="1" t="s">
        <v>36</v>
      </c>
      <c r="S14" s="1" t="s">
        <v>61</v>
      </c>
      <c r="T14" s="1" t="s">
        <v>62</v>
      </c>
      <c r="U14" s="6" t="n">
        <v>2</v>
      </c>
      <c r="V14" s="1" t="s">
        <v>39</v>
      </c>
      <c r="X14" s="6" t="s">
        <v>40</v>
      </c>
      <c r="Y14" s="6" t="s">
        <v>41</v>
      </c>
      <c r="Z14" s="6" t="s">
        <v>64</v>
      </c>
      <c r="AA14" s="6" t="n">
        <v>14</v>
      </c>
      <c r="AC14" s="1" t="s">
        <v>42</v>
      </c>
    </row>
    <row r="15" customFormat="false" ht="15" hidden="false" customHeight="true" outlineLevel="0" collapsed="false">
      <c r="A15" s="6" t="s">
        <v>29</v>
      </c>
      <c r="B15" s="7" t="s">
        <v>30</v>
      </c>
      <c r="C15" s="8" t="s">
        <v>31</v>
      </c>
      <c r="D15" s="9" t="s">
        <v>32</v>
      </c>
      <c r="E15" s="8" t="s">
        <v>33</v>
      </c>
      <c r="F15" s="6" t="s">
        <v>33</v>
      </c>
      <c r="G15" s="6"/>
      <c r="H15" s="6" t="str">
        <f aca="false">IF(Table2[[#This Row],[Need Mark]]="Y",C15&amp;"-"&amp;D15&amp;"/"&amp;L15,"-")</f>
        <v>-</v>
      </c>
      <c r="I15" s="6" t="str">
        <f aca="false">IF(Table2[[#This Row],[Need Mark]]="Y",L15&amp;"/"&amp;C15&amp;"-"&amp;D15,"-")</f>
        <v>-</v>
      </c>
      <c r="J15" s="6"/>
      <c r="K15" s="6" t="s">
        <v>35</v>
      </c>
      <c r="L15" s="6" t="str">
        <f aca="false">A15&amp;"-"&amp;K15&amp;"-"&amp;Z15&amp;"("&amp;Table2[[#This Row],[Column5]]&amp;")"</f>
        <v>P4-TBSI1-M7(11)</v>
      </c>
      <c r="M15" s="6"/>
      <c r="N15" s="6"/>
      <c r="O15" s="6"/>
      <c r="P15" s="6"/>
      <c r="Q15" s="6"/>
      <c r="R15" s="6" t="s">
        <v>36</v>
      </c>
      <c r="S15" s="6" t="s">
        <v>65</v>
      </c>
      <c r="T15" s="6" t="s">
        <v>66</v>
      </c>
      <c r="U15" s="1" t="n">
        <v>1</v>
      </c>
      <c r="V15" s="6" t="s">
        <v>39</v>
      </c>
      <c r="X15" s="6" t="s">
        <v>40</v>
      </c>
      <c r="Y15" s="6" t="s">
        <v>41</v>
      </c>
      <c r="Z15" s="6" t="str">
        <f aca="false">Z16</f>
        <v>M7</v>
      </c>
      <c r="AA15" s="6" t="n">
        <v>11</v>
      </c>
      <c r="AB15" s="6"/>
      <c r="AC15" s="10" t="s">
        <v>42</v>
      </c>
    </row>
    <row r="16" customFormat="false" ht="15" hidden="false" customHeight="true" outlineLevel="0" collapsed="false">
      <c r="A16" s="6" t="s">
        <v>29</v>
      </c>
      <c r="B16" s="7" t="s">
        <v>30</v>
      </c>
      <c r="C16" s="8" t="s">
        <v>30</v>
      </c>
      <c r="D16" s="9" t="n">
        <v>7</v>
      </c>
      <c r="E16" s="8" t="s">
        <v>43</v>
      </c>
      <c r="F16" s="8" t="s">
        <v>67</v>
      </c>
      <c r="G16" s="6" t="s">
        <v>34</v>
      </c>
      <c r="H16" s="6" t="str">
        <f aca="false">IF(Table2[[#This Row],[Need Mark]]="Y",C16&amp;"-"&amp;D16&amp;"/"&amp;L16,"-")</f>
        <v>C4S1-7/P4-TBSI1-M7(14)</v>
      </c>
      <c r="I16" s="6" t="str">
        <f aca="false">IF(Table2[[#This Row],[Need Mark]]="Y",L16&amp;"/"&amp;C16&amp;"-"&amp;D16,"-")</f>
        <v>P4-TBSI1-M7(14)/C4S1-7</v>
      </c>
      <c r="J16" s="6"/>
      <c r="K16" s="6" t="s">
        <v>35</v>
      </c>
      <c r="L16" s="6" t="str">
        <f aca="false">A16&amp;"-"&amp;K16&amp;"-"&amp;Z16&amp;"("&amp;Table2[[#This Row],[Column5]]&amp;")"</f>
        <v>P4-TBSI1-M7(14)</v>
      </c>
      <c r="M16" s="6"/>
      <c r="N16" s="6"/>
      <c r="O16" s="6"/>
      <c r="P16" s="6"/>
      <c r="Q16" s="6"/>
      <c r="R16" s="1" t="s">
        <v>36</v>
      </c>
      <c r="S16" s="1" t="s">
        <v>65</v>
      </c>
      <c r="T16" s="1" t="s">
        <v>66</v>
      </c>
      <c r="U16" s="6" t="n">
        <v>2</v>
      </c>
      <c r="V16" s="1" t="s">
        <v>39</v>
      </c>
      <c r="X16" s="6" t="s">
        <v>40</v>
      </c>
      <c r="Y16" s="6" t="s">
        <v>41</v>
      </c>
      <c r="Z16" s="6" t="s">
        <v>68</v>
      </c>
      <c r="AA16" s="6" t="n">
        <v>14</v>
      </c>
      <c r="AC16" s="1" t="s">
        <v>42</v>
      </c>
    </row>
    <row r="17" customFormat="false" ht="15" hidden="false" customHeight="true" outlineLevel="0" collapsed="false">
      <c r="A17" s="6" t="s">
        <v>29</v>
      </c>
      <c r="B17" s="7" t="s">
        <v>30</v>
      </c>
      <c r="C17" s="8" t="s">
        <v>31</v>
      </c>
      <c r="D17" s="9" t="s">
        <v>32</v>
      </c>
      <c r="E17" s="8" t="s">
        <v>33</v>
      </c>
      <c r="F17" s="6" t="s">
        <v>33</v>
      </c>
      <c r="G17" s="6"/>
      <c r="H17" s="6" t="str">
        <f aca="false">IF(Table2[[#This Row],[Need Mark]]="Y",C17&amp;"-"&amp;D17&amp;"/"&amp;L17,"-")</f>
        <v>-</v>
      </c>
      <c r="I17" s="6" t="str">
        <f aca="false">IF(Table2[[#This Row],[Need Mark]]="Y",L17&amp;"/"&amp;C17&amp;"-"&amp;D17,"-")</f>
        <v>-</v>
      </c>
      <c r="J17" s="6"/>
      <c r="K17" s="6" t="s">
        <v>35</v>
      </c>
      <c r="L17" s="6" t="str">
        <f aca="false">A17&amp;"-"&amp;K17&amp;"-"&amp;Z17&amp;"("&amp;Table2[[#This Row],[Column5]]&amp;")"</f>
        <v>P4-TBSI1-M8(11)</v>
      </c>
      <c r="M17" s="6"/>
      <c r="N17" s="6"/>
      <c r="O17" s="6"/>
      <c r="P17" s="6"/>
      <c r="Q17" s="6"/>
      <c r="R17" s="6" t="s">
        <v>36</v>
      </c>
      <c r="S17" s="6" t="s">
        <v>69</v>
      </c>
      <c r="T17" s="6" t="s">
        <v>70</v>
      </c>
      <c r="U17" s="1" t="n">
        <v>1</v>
      </c>
      <c r="V17" s="6" t="s">
        <v>39</v>
      </c>
      <c r="X17" s="6" t="s">
        <v>40</v>
      </c>
      <c r="Y17" s="6" t="s">
        <v>41</v>
      </c>
      <c r="Z17" s="6" t="str">
        <f aca="false">Z18</f>
        <v>M8</v>
      </c>
      <c r="AA17" s="6" t="n">
        <v>11</v>
      </c>
      <c r="AB17" s="6"/>
      <c r="AC17" s="10" t="s">
        <v>42</v>
      </c>
    </row>
    <row r="18" customFormat="false" ht="15" hidden="false" customHeight="true" outlineLevel="0" collapsed="false">
      <c r="A18" s="6" t="s">
        <v>29</v>
      </c>
      <c r="B18" s="7" t="s">
        <v>30</v>
      </c>
      <c r="C18" s="8" t="s">
        <v>30</v>
      </c>
      <c r="D18" s="9" t="n">
        <v>8</v>
      </c>
      <c r="E18" s="8" t="s">
        <v>43</v>
      </c>
      <c r="F18" s="8" t="s">
        <v>71</v>
      </c>
      <c r="G18" s="6" t="s">
        <v>34</v>
      </c>
      <c r="H18" s="6" t="str">
        <f aca="false">IF(Table2[[#This Row],[Need Mark]]="Y",C18&amp;"-"&amp;D18&amp;"/"&amp;L18,"-")</f>
        <v>C4S1-8/P4-TBSI1-M8(14)</v>
      </c>
      <c r="I18" s="6" t="str">
        <f aca="false">IF(Table2[[#This Row],[Need Mark]]="Y",L18&amp;"/"&amp;C18&amp;"-"&amp;D18,"-")</f>
        <v>P4-TBSI1-M8(14)/C4S1-8</v>
      </c>
      <c r="J18" s="6"/>
      <c r="K18" s="6" t="s">
        <v>35</v>
      </c>
      <c r="L18" s="6" t="str">
        <f aca="false">A18&amp;"-"&amp;K18&amp;"-"&amp;Z18&amp;"("&amp;Table2[[#This Row],[Column5]]&amp;")"</f>
        <v>P4-TBSI1-M8(14)</v>
      </c>
      <c r="M18" s="6"/>
      <c r="N18" s="6"/>
      <c r="O18" s="6"/>
      <c r="P18" s="6"/>
      <c r="Q18" s="6"/>
      <c r="R18" s="1" t="s">
        <v>36</v>
      </c>
      <c r="S18" s="1" t="s">
        <v>69</v>
      </c>
      <c r="T18" s="1" t="s">
        <v>70</v>
      </c>
      <c r="U18" s="6" t="n">
        <v>2</v>
      </c>
      <c r="V18" s="1" t="s">
        <v>39</v>
      </c>
      <c r="X18" s="6" t="s">
        <v>40</v>
      </c>
      <c r="Y18" s="6" t="s">
        <v>41</v>
      </c>
      <c r="Z18" s="6" t="s">
        <v>72</v>
      </c>
      <c r="AA18" s="6" t="n">
        <v>14</v>
      </c>
      <c r="AC18" s="1" t="s">
        <v>42</v>
      </c>
    </row>
    <row r="19" customFormat="false" ht="15" hidden="false" customHeight="true" outlineLevel="0" collapsed="false">
      <c r="A19" s="6" t="s">
        <v>29</v>
      </c>
      <c r="B19" s="7" t="s">
        <v>30</v>
      </c>
      <c r="C19" s="8" t="s">
        <v>31</v>
      </c>
      <c r="D19" s="9" t="s">
        <v>32</v>
      </c>
      <c r="E19" s="8" t="s">
        <v>33</v>
      </c>
      <c r="F19" s="6" t="s">
        <v>33</v>
      </c>
      <c r="G19" s="6"/>
      <c r="H19" s="6" t="str">
        <f aca="false">IF(Table2[[#This Row],[Need Mark]]="Y",C19&amp;"-"&amp;D19&amp;"/"&amp;L19,"-")</f>
        <v>-</v>
      </c>
      <c r="I19" s="6" t="str">
        <f aca="false">IF(Table2[[#This Row],[Need Mark]]="Y",L19&amp;"/"&amp;C19&amp;"-"&amp;D19,"-")</f>
        <v>-</v>
      </c>
      <c r="J19" s="6"/>
      <c r="K19" s="6" t="s">
        <v>35</v>
      </c>
      <c r="L19" s="6" t="str">
        <f aca="false">A19&amp;"-"&amp;K19&amp;"-"&amp;Z19&amp;"("&amp;Table2[[#This Row],[Column5]]&amp;")"</f>
        <v>P4-TBSI1-M9(11)</v>
      </c>
      <c r="M19" s="6"/>
      <c r="N19" s="6"/>
      <c r="O19" s="6"/>
      <c r="P19" s="6"/>
      <c r="Q19" s="6"/>
      <c r="R19" s="6" t="s">
        <v>36</v>
      </c>
      <c r="S19" s="6" t="s">
        <v>73</v>
      </c>
      <c r="T19" s="6" t="s">
        <v>74</v>
      </c>
      <c r="U19" s="1" t="n">
        <v>1</v>
      </c>
      <c r="V19" s="6" t="s">
        <v>39</v>
      </c>
      <c r="X19" s="6" t="s">
        <v>40</v>
      </c>
      <c r="Y19" s="6" t="s">
        <v>41</v>
      </c>
      <c r="Z19" s="6" t="str">
        <f aca="false">Z20</f>
        <v>M9</v>
      </c>
      <c r="AA19" s="6" t="n">
        <v>11</v>
      </c>
      <c r="AB19" s="6"/>
      <c r="AC19" s="10" t="s">
        <v>42</v>
      </c>
    </row>
    <row r="20" customFormat="false" ht="15" hidden="false" customHeight="true" outlineLevel="0" collapsed="false">
      <c r="A20" s="6" t="s">
        <v>29</v>
      </c>
      <c r="B20" s="7" t="s">
        <v>30</v>
      </c>
      <c r="C20" s="8" t="s">
        <v>30</v>
      </c>
      <c r="D20" s="9" t="n">
        <v>9</v>
      </c>
      <c r="E20" s="8" t="s">
        <v>43</v>
      </c>
      <c r="F20" s="8" t="s">
        <v>75</v>
      </c>
      <c r="G20" s="6" t="s">
        <v>34</v>
      </c>
      <c r="H20" s="6" t="str">
        <f aca="false">IF(Table2[[#This Row],[Need Mark]]="Y",C20&amp;"-"&amp;D20&amp;"/"&amp;L20,"-")</f>
        <v>C4S1-9/P4-TBSI1-M9(14)</v>
      </c>
      <c r="I20" s="6" t="str">
        <f aca="false">IF(Table2[[#This Row],[Need Mark]]="Y",L20&amp;"/"&amp;C20&amp;"-"&amp;D20,"-")</f>
        <v>P4-TBSI1-M9(14)/C4S1-9</v>
      </c>
      <c r="J20" s="6"/>
      <c r="K20" s="6" t="s">
        <v>35</v>
      </c>
      <c r="L20" s="6" t="str">
        <f aca="false">A20&amp;"-"&amp;K20&amp;"-"&amp;Z20&amp;"("&amp;Table2[[#This Row],[Column5]]&amp;")"</f>
        <v>P4-TBSI1-M9(14)</v>
      </c>
      <c r="M20" s="6"/>
      <c r="N20" s="6"/>
      <c r="O20" s="6"/>
      <c r="P20" s="6"/>
      <c r="Q20" s="6"/>
      <c r="R20" s="1" t="s">
        <v>36</v>
      </c>
      <c r="S20" s="1" t="s">
        <v>73</v>
      </c>
      <c r="T20" s="1" t="s">
        <v>74</v>
      </c>
      <c r="U20" s="6" t="n">
        <v>2</v>
      </c>
      <c r="V20" s="1" t="s">
        <v>39</v>
      </c>
      <c r="X20" s="6" t="s">
        <v>40</v>
      </c>
      <c r="Y20" s="6" t="s">
        <v>41</v>
      </c>
      <c r="Z20" s="6" t="s">
        <v>76</v>
      </c>
      <c r="AA20" s="6" t="n">
        <v>14</v>
      </c>
      <c r="AC20" s="1" t="s">
        <v>42</v>
      </c>
    </row>
    <row r="21" customFormat="false" ht="15" hidden="false" customHeight="true" outlineLevel="0" collapsed="false">
      <c r="A21" s="6" t="s">
        <v>29</v>
      </c>
      <c r="B21" s="7" t="s">
        <v>30</v>
      </c>
      <c r="C21" s="8" t="s">
        <v>31</v>
      </c>
      <c r="D21" s="9" t="s">
        <v>32</v>
      </c>
      <c r="E21" s="8" t="s">
        <v>33</v>
      </c>
      <c r="F21" s="6" t="s">
        <v>33</v>
      </c>
      <c r="G21" s="6"/>
      <c r="H21" s="6" t="str">
        <f aca="false">IF(Table2[[#This Row],[Need Mark]]="Y",C21&amp;"-"&amp;D21&amp;"/"&amp;L21,"-")</f>
        <v>-</v>
      </c>
      <c r="I21" s="6" t="str">
        <f aca="false">IF(Table2[[#This Row],[Need Mark]]="Y",L21&amp;"/"&amp;C21&amp;"-"&amp;D21,"-")</f>
        <v>-</v>
      </c>
      <c r="J21" s="6"/>
      <c r="K21" s="6" t="s">
        <v>35</v>
      </c>
      <c r="L21" s="6" t="str">
        <f aca="false">A21&amp;"-"&amp;K21&amp;"-"&amp;Z21&amp;"("&amp;Table2[[#This Row],[Column5]]&amp;")"</f>
        <v>P4-TBSI1-M10(11)</v>
      </c>
      <c r="M21" s="6"/>
      <c r="N21" s="6"/>
      <c r="O21" s="6"/>
      <c r="P21" s="6"/>
      <c r="Q21" s="6"/>
      <c r="R21" s="6" t="s">
        <v>36</v>
      </c>
      <c r="S21" s="6" t="s">
        <v>77</v>
      </c>
      <c r="T21" s="6" t="s">
        <v>78</v>
      </c>
      <c r="U21" s="1" t="n">
        <v>1</v>
      </c>
      <c r="V21" s="6" t="s">
        <v>39</v>
      </c>
      <c r="X21" s="6" t="s">
        <v>40</v>
      </c>
      <c r="Y21" s="6" t="s">
        <v>41</v>
      </c>
      <c r="Z21" s="6" t="str">
        <f aca="false">Z22</f>
        <v>M10</v>
      </c>
      <c r="AA21" s="6" t="n">
        <v>11</v>
      </c>
      <c r="AB21" s="6"/>
      <c r="AC21" s="10" t="s">
        <v>42</v>
      </c>
    </row>
    <row r="22" customFormat="false" ht="15" hidden="false" customHeight="true" outlineLevel="0" collapsed="false">
      <c r="A22" s="6" t="s">
        <v>29</v>
      </c>
      <c r="B22" s="7" t="s">
        <v>30</v>
      </c>
      <c r="C22" s="8" t="s">
        <v>30</v>
      </c>
      <c r="D22" s="9" t="n">
        <v>10</v>
      </c>
      <c r="E22" s="8" t="s">
        <v>43</v>
      </c>
      <c r="F22" s="8" t="s">
        <v>79</v>
      </c>
      <c r="G22" s="6" t="s">
        <v>34</v>
      </c>
      <c r="H22" s="6" t="str">
        <f aca="false">IF(Table2[[#This Row],[Need Mark]]="Y",C22&amp;"-"&amp;D22&amp;"/"&amp;L22,"-")</f>
        <v>C4S1-10/P4-TBSI1-M10(14)</v>
      </c>
      <c r="I22" s="6" t="str">
        <f aca="false">IF(Table2[[#This Row],[Need Mark]]="Y",L22&amp;"/"&amp;C22&amp;"-"&amp;D22,"-")</f>
        <v>P4-TBSI1-M10(14)/C4S1-10</v>
      </c>
      <c r="J22" s="6"/>
      <c r="K22" s="6" t="s">
        <v>35</v>
      </c>
      <c r="L22" s="6" t="str">
        <f aca="false">A22&amp;"-"&amp;K22&amp;"-"&amp;Z22&amp;"("&amp;Table2[[#This Row],[Column5]]&amp;")"</f>
        <v>P4-TBSI1-M10(14)</v>
      </c>
      <c r="M22" s="6"/>
      <c r="N22" s="6"/>
      <c r="O22" s="6"/>
      <c r="P22" s="6"/>
      <c r="Q22" s="6"/>
      <c r="R22" s="1" t="s">
        <v>36</v>
      </c>
      <c r="S22" s="1" t="s">
        <v>77</v>
      </c>
      <c r="T22" s="1" t="s">
        <v>78</v>
      </c>
      <c r="U22" s="6" t="n">
        <v>2</v>
      </c>
      <c r="V22" s="1" t="s">
        <v>39</v>
      </c>
      <c r="X22" s="6" t="s">
        <v>40</v>
      </c>
      <c r="Y22" s="6" t="s">
        <v>41</v>
      </c>
      <c r="Z22" s="6" t="s">
        <v>80</v>
      </c>
      <c r="AA22" s="6" t="n">
        <v>14</v>
      </c>
      <c r="AC22" s="1" t="s">
        <v>42</v>
      </c>
    </row>
    <row r="23" customFormat="false" ht="15" hidden="false" customHeight="true" outlineLevel="0" collapsed="false">
      <c r="A23" s="6" t="s">
        <v>29</v>
      </c>
      <c r="B23" s="7" t="s">
        <v>30</v>
      </c>
      <c r="C23" s="8" t="s">
        <v>31</v>
      </c>
      <c r="D23" s="9" t="s">
        <v>32</v>
      </c>
      <c r="E23" s="8" t="s">
        <v>33</v>
      </c>
      <c r="F23" s="6" t="s">
        <v>33</v>
      </c>
      <c r="G23" s="6"/>
      <c r="H23" s="6" t="str">
        <f aca="false">IF(Table2[[#This Row],[Need Mark]]="Y",C23&amp;"-"&amp;D23&amp;"/"&amp;L23,"-")</f>
        <v>-</v>
      </c>
      <c r="I23" s="6" t="str">
        <f aca="false">IF(Table2[[#This Row],[Need Mark]]="Y",L23&amp;"/"&amp;C23&amp;"-"&amp;D23,"-")</f>
        <v>-</v>
      </c>
      <c r="J23" s="6"/>
      <c r="K23" s="6" t="s">
        <v>35</v>
      </c>
      <c r="L23" s="6" t="str">
        <f aca="false">A23&amp;"-"&amp;K23&amp;"-"&amp;Z23&amp;"("&amp;Table2[[#This Row],[Column5]]&amp;")"</f>
        <v>P4-TBSI1-M11(11)</v>
      </c>
      <c r="M23" s="6"/>
      <c r="N23" s="6"/>
      <c r="O23" s="6"/>
      <c r="P23" s="6"/>
      <c r="Q23" s="6"/>
      <c r="R23" s="6" t="s">
        <v>36</v>
      </c>
      <c r="S23" s="6" t="s">
        <v>81</v>
      </c>
      <c r="T23" s="6" t="s">
        <v>82</v>
      </c>
      <c r="U23" s="1" t="n">
        <v>1</v>
      </c>
      <c r="V23" s="6" t="s">
        <v>39</v>
      </c>
      <c r="X23" s="6" t="s">
        <v>40</v>
      </c>
      <c r="Y23" s="6" t="s">
        <v>41</v>
      </c>
      <c r="Z23" s="6" t="str">
        <f aca="false">Z24</f>
        <v>M11</v>
      </c>
      <c r="AA23" s="6" t="n">
        <v>11</v>
      </c>
      <c r="AB23" s="6"/>
      <c r="AC23" s="10" t="s">
        <v>42</v>
      </c>
    </row>
    <row r="24" customFormat="false" ht="15" hidden="false" customHeight="true" outlineLevel="0" collapsed="false">
      <c r="A24" s="6" t="s">
        <v>29</v>
      </c>
      <c r="B24" s="7" t="s">
        <v>30</v>
      </c>
      <c r="C24" s="8" t="s">
        <v>30</v>
      </c>
      <c r="D24" s="9" t="n">
        <v>11</v>
      </c>
      <c r="E24" s="8" t="s">
        <v>43</v>
      </c>
      <c r="F24" s="8" t="s">
        <v>83</v>
      </c>
      <c r="G24" s="6" t="s">
        <v>34</v>
      </c>
      <c r="H24" s="6" t="str">
        <f aca="false">IF(Table2[[#This Row],[Need Mark]]="Y",C24&amp;"-"&amp;D24&amp;"/"&amp;L24,"-")</f>
        <v>C4S1-11/P4-TBSI1-M11(14)</v>
      </c>
      <c r="I24" s="6" t="str">
        <f aca="false">IF(Table2[[#This Row],[Need Mark]]="Y",L24&amp;"/"&amp;C24&amp;"-"&amp;D24,"-")</f>
        <v>P4-TBSI1-M11(14)/C4S1-11</v>
      </c>
      <c r="J24" s="6"/>
      <c r="K24" s="6" t="s">
        <v>35</v>
      </c>
      <c r="L24" s="6" t="str">
        <f aca="false">A24&amp;"-"&amp;K24&amp;"-"&amp;Z24&amp;"("&amp;Table2[[#This Row],[Column5]]&amp;")"</f>
        <v>P4-TBSI1-M11(14)</v>
      </c>
      <c r="M24" s="6"/>
      <c r="N24" s="6"/>
      <c r="O24" s="6"/>
      <c r="P24" s="6"/>
      <c r="Q24" s="6"/>
      <c r="R24" s="1" t="s">
        <v>36</v>
      </c>
      <c r="S24" s="1" t="s">
        <v>81</v>
      </c>
      <c r="T24" s="1" t="s">
        <v>82</v>
      </c>
      <c r="U24" s="6" t="n">
        <v>2</v>
      </c>
      <c r="V24" s="1" t="s">
        <v>39</v>
      </c>
      <c r="X24" s="6" t="s">
        <v>40</v>
      </c>
      <c r="Y24" s="6" t="s">
        <v>41</v>
      </c>
      <c r="Z24" s="6" t="s">
        <v>84</v>
      </c>
      <c r="AA24" s="6" t="n">
        <v>14</v>
      </c>
      <c r="AC24" s="1" t="s">
        <v>42</v>
      </c>
    </row>
    <row r="25" customFormat="false" ht="15" hidden="false" customHeight="true" outlineLevel="0" collapsed="false">
      <c r="A25" s="6" t="s">
        <v>29</v>
      </c>
      <c r="B25" s="7" t="s">
        <v>30</v>
      </c>
      <c r="C25" s="8" t="s">
        <v>31</v>
      </c>
      <c r="D25" s="9" t="s">
        <v>32</v>
      </c>
      <c r="E25" s="8" t="s">
        <v>33</v>
      </c>
      <c r="F25" s="6" t="s">
        <v>33</v>
      </c>
      <c r="G25" s="6"/>
      <c r="H25" s="6" t="str">
        <f aca="false">IF(Table2[[#This Row],[Need Mark]]="Y",C25&amp;"-"&amp;D25&amp;"/"&amp;L25,"-")</f>
        <v>-</v>
      </c>
      <c r="I25" s="6" t="str">
        <f aca="false">IF(Table2[[#This Row],[Need Mark]]="Y",L25&amp;"/"&amp;C25&amp;"-"&amp;D25,"-")</f>
        <v>-</v>
      </c>
      <c r="J25" s="6"/>
      <c r="K25" s="6" t="s">
        <v>35</v>
      </c>
      <c r="L25" s="6" t="str">
        <f aca="false">A25&amp;"-"&amp;K25&amp;"-"&amp;Z25&amp;"("&amp;Table2[[#This Row],[Column5]]&amp;")"</f>
        <v>P4-TBSI1-M12(11)</v>
      </c>
      <c r="M25" s="6"/>
      <c r="N25" s="6"/>
      <c r="O25" s="6"/>
      <c r="P25" s="6"/>
      <c r="Q25" s="6"/>
      <c r="R25" s="6" t="s">
        <v>36</v>
      </c>
      <c r="S25" s="6" t="s">
        <v>85</v>
      </c>
      <c r="T25" s="6" t="s">
        <v>86</v>
      </c>
      <c r="U25" s="1" t="n">
        <v>1</v>
      </c>
      <c r="V25" s="6" t="s">
        <v>39</v>
      </c>
      <c r="X25" s="6" t="s">
        <v>40</v>
      </c>
      <c r="Y25" s="6" t="s">
        <v>41</v>
      </c>
      <c r="Z25" s="6" t="str">
        <f aca="false">Z26</f>
        <v>M12</v>
      </c>
      <c r="AA25" s="6" t="n">
        <v>11</v>
      </c>
      <c r="AB25" s="6"/>
      <c r="AC25" s="10" t="s">
        <v>42</v>
      </c>
    </row>
    <row r="26" customFormat="false" ht="15" hidden="false" customHeight="true" outlineLevel="0" collapsed="false">
      <c r="A26" s="6" t="s">
        <v>29</v>
      </c>
      <c r="B26" s="7" t="s">
        <v>30</v>
      </c>
      <c r="C26" s="8" t="s">
        <v>30</v>
      </c>
      <c r="D26" s="9" t="n">
        <v>12</v>
      </c>
      <c r="E26" s="8" t="s">
        <v>43</v>
      </c>
      <c r="F26" s="8" t="s">
        <v>87</v>
      </c>
      <c r="G26" s="6" t="s">
        <v>34</v>
      </c>
      <c r="H26" s="6" t="str">
        <f aca="false">IF(Table2[[#This Row],[Need Mark]]="Y",C26&amp;"-"&amp;D26&amp;"/"&amp;L26,"-")</f>
        <v>C4S1-12/P4-TBSI1-M12(14)</v>
      </c>
      <c r="I26" s="6" t="str">
        <f aca="false">IF(Table2[[#This Row],[Need Mark]]="Y",L26&amp;"/"&amp;C26&amp;"-"&amp;D26,"-")</f>
        <v>P4-TBSI1-M12(14)/C4S1-12</v>
      </c>
      <c r="J26" s="6"/>
      <c r="K26" s="6" t="s">
        <v>35</v>
      </c>
      <c r="L26" s="6" t="str">
        <f aca="false">A26&amp;"-"&amp;K26&amp;"-"&amp;Z26&amp;"("&amp;Table2[[#This Row],[Column5]]&amp;")"</f>
        <v>P4-TBSI1-M12(14)</v>
      </c>
      <c r="M26" s="6"/>
      <c r="N26" s="6"/>
      <c r="O26" s="6"/>
      <c r="P26" s="6"/>
      <c r="Q26" s="6"/>
      <c r="R26" s="1" t="s">
        <v>36</v>
      </c>
      <c r="S26" s="1" t="s">
        <v>85</v>
      </c>
      <c r="T26" s="1" t="s">
        <v>86</v>
      </c>
      <c r="U26" s="6" t="n">
        <v>2</v>
      </c>
      <c r="V26" s="1" t="s">
        <v>39</v>
      </c>
      <c r="X26" s="6" t="s">
        <v>40</v>
      </c>
      <c r="Y26" s="6" t="s">
        <v>41</v>
      </c>
      <c r="Z26" s="6" t="s">
        <v>88</v>
      </c>
      <c r="AA26" s="6" t="n">
        <v>14</v>
      </c>
      <c r="AC26" s="1" t="s">
        <v>42</v>
      </c>
    </row>
    <row r="27" customFormat="false" ht="15" hidden="false" customHeight="true" outlineLevel="0" collapsed="false">
      <c r="A27" s="6" t="s">
        <v>29</v>
      </c>
      <c r="B27" s="7" t="s">
        <v>30</v>
      </c>
      <c r="C27" s="8" t="s">
        <v>31</v>
      </c>
      <c r="D27" s="9" t="s">
        <v>32</v>
      </c>
      <c r="E27" s="8" t="s">
        <v>33</v>
      </c>
      <c r="F27" s="6" t="s">
        <v>33</v>
      </c>
      <c r="G27" s="6"/>
      <c r="H27" s="6" t="str">
        <f aca="false">IF(Table2[[#This Row],[Need Mark]]="Y",C27&amp;"-"&amp;D27&amp;"/"&amp;L27,"-")</f>
        <v>-</v>
      </c>
      <c r="I27" s="6" t="str">
        <f aca="false">IF(Table2[[#This Row],[Need Mark]]="Y",L27&amp;"/"&amp;C27&amp;"-"&amp;D27,"-")</f>
        <v>-</v>
      </c>
      <c r="J27" s="6"/>
      <c r="K27" s="6" t="s">
        <v>35</v>
      </c>
      <c r="L27" s="6" t="str">
        <f aca="false">A27&amp;"-"&amp;K27&amp;"-"&amp;Z27&amp;"("&amp;Table2[[#This Row],[Column5]]&amp;")"</f>
        <v>P4-TBSI1-M13(11)</v>
      </c>
      <c r="M27" s="6"/>
      <c r="N27" s="6"/>
      <c r="O27" s="6"/>
      <c r="P27" s="6"/>
      <c r="Q27" s="6"/>
      <c r="R27" s="6" t="s">
        <v>36</v>
      </c>
      <c r="S27" s="6" t="s">
        <v>89</v>
      </c>
      <c r="T27" s="6" t="s">
        <v>90</v>
      </c>
      <c r="U27" s="1" t="n">
        <v>1</v>
      </c>
      <c r="V27" s="6" t="s">
        <v>39</v>
      </c>
      <c r="X27" s="6" t="s">
        <v>40</v>
      </c>
      <c r="Y27" s="6" t="s">
        <v>41</v>
      </c>
      <c r="Z27" s="6" t="str">
        <f aca="false">Z28</f>
        <v>M13</v>
      </c>
      <c r="AA27" s="6" t="n">
        <v>11</v>
      </c>
      <c r="AB27" s="6"/>
      <c r="AC27" s="10" t="s">
        <v>42</v>
      </c>
    </row>
    <row r="28" customFormat="false" ht="15" hidden="false" customHeight="true" outlineLevel="0" collapsed="false">
      <c r="A28" s="6" t="s">
        <v>29</v>
      </c>
      <c r="B28" s="7" t="s">
        <v>30</v>
      </c>
      <c r="C28" s="8" t="s">
        <v>30</v>
      </c>
      <c r="D28" s="9" t="n">
        <v>13</v>
      </c>
      <c r="E28" s="8" t="s">
        <v>43</v>
      </c>
      <c r="F28" s="8" t="s">
        <v>91</v>
      </c>
      <c r="G28" s="6" t="s">
        <v>34</v>
      </c>
      <c r="H28" s="6" t="str">
        <f aca="false">IF(Table2[[#This Row],[Need Mark]]="Y",C28&amp;"-"&amp;D28&amp;"/"&amp;L28,"-")</f>
        <v>C4S1-13/P4-TBSI1-M13(14)</v>
      </c>
      <c r="I28" s="6" t="str">
        <f aca="false">IF(Table2[[#This Row],[Need Mark]]="Y",L28&amp;"/"&amp;C28&amp;"-"&amp;D28,"-")</f>
        <v>P4-TBSI1-M13(14)/C4S1-13</v>
      </c>
      <c r="J28" s="6"/>
      <c r="K28" s="6" t="s">
        <v>35</v>
      </c>
      <c r="L28" s="6" t="str">
        <f aca="false">A28&amp;"-"&amp;K28&amp;"-"&amp;Z28&amp;"("&amp;Table2[[#This Row],[Column5]]&amp;")"</f>
        <v>P4-TBSI1-M13(14)</v>
      </c>
      <c r="M28" s="6"/>
      <c r="N28" s="6"/>
      <c r="O28" s="6"/>
      <c r="P28" s="6"/>
      <c r="Q28" s="6"/>
      <c r="R28" s="1" t="s">
        <v>36</v>
      </c>
      <c r="S28" s="1" t="s">
        <v>89</v>
      </c>
      <c r="T28" s="1" t="s">
        <v>90</v>
      </c>
      <c r="U28" s="6" t="n">
        <v>2</v>
      </c>
      <c r="V28" s="1" t="s">
        <v>39</v>
      </c>
      <c r="X28" s="6" t="s">
        <v>40</v>
      </c>
      <c r="Y28" s="6" t="s">
        <v>41</v>
      </c>
      <c r="Z28" s="6" t="s">
        <v>92</v>
      </c>
      <c r="AA28" s="6" t="n">
        <v>14</v>
      </c>
      <c r="AC28" s="1" t="s">
        <v>42</v>
      </c>
    </row>
    <row r="29" customFormat="false" ht="15" hidden="false" customHeight="true" outlineLevel="0" collapsed="false">
      <c r="A29" s="6" t="s">
        <v>29</v>
      </c>
      <c r="B29" s="7" t="s">
        <v>30</v>
      </c>
      <c r="C29" s="8" t="s">
        <v>31</v>
      </c>
      <c r="D29" s="9" t="s">
        <v>32</v>
      </c>
      <c r="E29" s="8" t="s">
        <v>33</v>
      </c>
      <c r="F29" s="6" t="s">
        <v>33</v>
      </c>
      <c r="G29" s="6"/>
      <c r="H29" s="6" t="str">
        <f aca="false">IF(Table2[[#This Row],[Need Mark]]="Y",C29&amp;"-"&amp;D29&amp;"/"&amp;L29,"-")</f>
        <v>-</v>
      </c>
      <c r="I29" s="6" t="str">
        <f aca="false">IF(Table2[[#This Row],[Need Mark]]="Y",L29&amp;"/"&amp;C29&amp;"-"&amp;D29,"-")</f>
        <v>-</v>
      </c>
      <c r="J29" s="6"/>
      <c r="K29" s="6" t="s">
        <v>35</v>
      </c>
      <c r="L29" s="6" t="str">
        <f aca="false">A29&amp;"-"&amp;K29&amp;"-"&amp;Z29&amp;"("&amp;Table2[[#This Row],[Column5]]&amp;")"</f>
        <v>P4-TBSI1-M14(11)</v>
      </c>
      <c r="M29" s="6"/>
      <c r="N29" s="6"/>
      <c r="O29" s="6"/>
      <c r="P29" s="6"/>
      <c r="Q29" s="6"/>
      <c r="R29" s="6" t="s">
        <v>36</v>
      </c>
      <c r="S29" s="6" t="s">
        <v>93</v>
      </c>
      <c r="T29" s="6" t="s">
        <v>94</v>
      </c>
      <c r="U29" s="1" t="n">
        <v>1</v>
      </c>
      <c r="V29" s="6" t="s">
        <v>39</v>
      </c>
      <c r="X29" s="6" t="s">
        <v>40</v>
      </c>
      <c r="Y29" s="6" t="s">
        <v>41</v>
      </c>
      <c r="Z29" s="6" t="str">
        <f aca="false">Z30</f>
        <v>M14</v>
      </c>
      <c r="AA29" s="6" t="n">
        <v>11</v>
      </c>
      <c r="AB29" s="6"/>
      <c r="AC29" s="10" t="s">
        <v>42</v>
      </c>
    </row>
    <row r="30" customFormat="false" ht="15" hidden="false" customHeight="true" outlineLevel="0" collapsed="false">
      <c r="A30" s="6" t="s">
        <v>29</v>
      </c>
      <c r="B30" s="7" t="s">
        <v>30</v>
      </c>
      <c r="C30" s="8" t="s">
        <v>30</v>
      </c>
      <c r="D30" s="9" t="n">
        <v>14</v>
      </c>
      <c r="E30" s="8" t="s">
        <v>43</v>
      </c>
      <c r="F30" s="8" t="s">
        <v>95</v>
      </c>
      <c r="G30" s="6" t="s">
        <v>34</v>
      </c>
      <c r="H30" s="6" t="str">
        <f aca="false">IF(Table2[[#This Row],[Need Mark]]="Y",C30&amp;"-"&amp;D30&amp;"/"&amp;L30,"-")</f>
        <v>C4S1-14/P4-TBSI1-M14(14)</v>
      </c>
      <c r="I30" s="6" t="str">
        <f aca="false">IF(Table2[[#This Row],[Need Mark]]="Y",L30&amp;"/"&amp;C30&amp;"-"&amp;D30,"-")</f>
        <v>P4-TBSI1-M14(14)/C4S1-14</v>
      </c>
      <c r="J30" s="6"/>
      <c r="K30" s="6" t="s">
        <v>35</v>
      </c>
      <c r="L30" s="6" t="str">
        <f aca="false">A30&amp;"-"&amp;K30&amp;"-"&amp;Z30&amp;"("&amp;Table2[[#This Row],[Column5]]&amp;")"</f>
        <v>P4-TBSI1-M14(14)</v>
      </c>
      <c r="M30" s="6"/>
      <c r="N30" s="6"/>
      <c r="O30" s="6"/>
      <c r="P30" s="6"/>
      <c r="Q30" s="6"/>
      <c r="R30" s="1" t="s">
        <v>36</v>
      </c>
      <c r="S30" s="1" t="s">
        <v>93</v>
      </c>
      <c r="T30" s="1" t="s">
        <v>94</v>
      </c>
      <c r="U30" s="6" t="n">
        <v>2</v>
      </c>
      <c r="V30" s="1" t="s">
        <v>39</v>
      </c>
      <c r="X30" s="6" t="s">
        <v>40</v>
      </c>
      <c r="Y30" s="6" t="s">
        <v>41</v>
      </c>
      <c r="Z30" s="6" t="s">
        <v>96</v>
      </c>
      <c r="AA30" s="6" t="n">
        <v>14</v>
      </c>
      <c r="AC30" s="1" t="s">
        <v>42</v>
      </c>
    </row>
    <row r="31" customFormat="false" ht="15" hidden="false" customHeight="true" outlineLevel="0" collapsed="false">
      <c r="A31" s="6" t="s">
        <v>29</v>
      </c>
      <c r="B31" s="7" t="s">
        <v>30</v>
      </c>
      <c r="C31" s="8" t="s">
        <v>31</v>
      </c>
      <c r="D31" s="9" t="s">
        <v>32</v>
      </c>
      <c r="E31" s="8" t="s">
        <v>33</v>
      </c>
      <c r="F31" s="6" t="s">
        <v>33</v>
      </c>
      <c r="G31" s="6"/>
      <c r="H31" s="6" t="str">
        <f aca="false">IF(Table2[[#This Row],[Need Mark]]="Y",C31&amp;"-"&amp;D31&amp;"/"&amp;L31,"-")</f>
        <v>-</v>
      </c>
      <c r="I31" s="6" t="str">
        <f aca="false">IF(Table2[[#This Row],[Need Mark]]="Y",L31&amp;"/"&amp;C31&amp;"-"&amp;D31,"-")</f>
        <v>-</v>
      </c>
      <c r="J31" s="6"/>
      <c r="K31" s="6" t="s">
        <v>35</v>
      </c>
      <c r="L31" s="6" t="str">
        <f aca="false">A31&amp;"-"&amp;K31&amp;"-"&amp;Z31&amp;"("&amp;Table2[[#This Row],[Column5]]&amp;")"</f>
        <v>P4-TBSI1-M15(11)</v>
      </c>
      <c r="M31" s="6"/>
      <c r="N31" s="6"/>
      <c r="O31" s="6"/>
      <c r="P31" s="6"/>
      <c r="Q31" s="6"/>
      <c r="R31" s="6" t="s">
        <v>36</v>
      </c>
      <c r="S31" s="6" t="s">
        <v>97</v>
      </c>
      <c r="T31" s="6" t="s">
        <v>98</v>
      </c>
      <c r="U31" s="1" t="n">
        <v>1</v>
      </c>
      <c r="V31" s="6" t="s">
        <v>39</v>
      </c>
      <c r="X31" s="6" t="s">
        <v>40</v>
      </c>
      <c r="Y31" s="6" t="s">
        <v>41</v>
      </c>
      <c r="Z31" s="6" t="str">
        <f aca="false">Z32</f>
        <v>M15</v>
      </c>
      <c r="AA31" s="6" t="n">
        <v>11</v>
      </c>
      <c r="AB31" s="6"/>
      <c r="AC31" s="10" t="s">
        <v>42</v>
      </c>
    </row>
    <row r="32" customFormat="false" ht="15" hidden="false" customHeight="true" outlineLevel="0" collapsed="false">
      <c r="A32" s="6" t="s">
        <v>29</v>
      </c>
      <c r="B32" s="7" t="s">
        <v>30</v>
      </c>
      <c r="C32" s="8" t="s">
        <v>30</v>
      </c>
      <c r="D32" s="9" t="n">
        <v>15</v>
      </c>
      <c r="E32" s="8" t="s">
        <v>43</v>
      </c>
      <c r="F32" s="8" t="s">
        <v>99</v>
      </c>
      <c r="G32" s="6" t="s">
        <v>34</v>
      </c>
      <c r="H32" s="6" t="str">
        <f aca="false">IF(Table2[[#This Row],[Need Mark]]="Y",C32&amp;"-"&amp;D32&amp;"/"&amp;L32,"-")</f>
        <v>C4S1-15/P4-TBSI1-M15(14)</v>
      </c>
      <c r="I32" s="6" t="str">
        <f aca="false">IF(Table2[[#This Row],[Need Mark]]="Y",L32&amp;"/"&amp;C32&amp;"-"&amp;D32,"-")</f>
        <v>P4-TBSI1-M15(14)/C4S1-15</v>
      </c>
      <c r="J32" s="6"/>
      <c r="K32" s="6" t="s">
        <v>35</v>
      </c>
      <c r="L32" s="6" t="str">
        <f aca="false">A32&amp;"-"&amp;K32&amp;"-"&amp;Z32&amp;"("&amp;Table2[[#This Row],[Column5]]&amp;")"</f>
        <v>P4-TBSI1-M15(14)</v>
      </c>
      <c r="M32" s="6"/>
      <c r="N32" s="6"/>
      <c r="O32" s="6"/>
      <c r="P32" s="6"/>
      <c r="Q32" s="6"/>
      <c r="R32" s="1" t="s">
        <v>36</v>
      </c>
      <c r="S32" s="1" t="s">
        <v>97</v>
      </c>
      <c r="T32" s="1" t="s">
        <v>98</v>
      </c>
      <c r="U32" s="6" t="n">
        <v>2</v>
      </c>
      <c r="V32" s="1" t="s">
        <v>39</v>
      </c>
      <c r="X32" s="6" t="s">
        <v>40</v>
      </c>
      <c r="Y32" s="6" t="s">
        <v>41</v>
      </c>
      <c r="Z32" s="6" t="s">
        <v>100</v>
      </c>
      <c r="AA32" s="6" t="n">
        <v>14</v>
      </c>
      <c r="AC32" s="1" t="s">
        <v>42</v>
      </c>
    </row>
    <row r="33" customFormat="false" ht="15" hidden="false" customHeight="true" outlineLevel="0" collapsed="false">
      <c r="A33" s="6" t="s">
        <v>29</v>
      </c>
      <c r="B33" s="7" t="s">
        <v>30</v>
      </c>
      <c r="C33" s="8" t="s">
        <v>31</v>
      </c>
      <c r="D33" s="9" t="s">
        <v>32</v>
      </c>
      <c r="E33" s="8" t="s">
        <v>33</v>
      </c>
      <c r="F33" s="6" t="s">
        <v>33</v>
      </c>
      <c r="G33" s="6"/>
      <c r="H33" s="6" t="str">
        <f aca="false">IF(Table2[[#This Row],[Need Mark]]="Y",C33&amp;"-"&amp;D33&amp;"/"&amp;L33,"-")</f>
        <v>-</v>
      </c>
      <c r="I33" s="6" t="str">
        <f aca="false">IF(Table2[[#This Row],[Need Mark]]="Y",L33&amp;"/"&amp;C33&amp;"-"&amp;D33,"-")</f>
        <v>-</v>
      </c>
      <c r="J33" s="6"/>
      <c r="K33" s="6" t="s">
        <v>35</v>
      </c>
      <c r="L33" s="6" t="str">
        <f aca="false">A33&amp;"-"&amp;K33&amp;"-"&amp;Z33&amp;"("&amp;Table2[[#This Row],[Column5]]&amp;")"</f>
        <v>P4-TBSI1-M16(11)</v>
      </c>
      <c r="M33" s="6"/>
      <c r="N33" s="6"/>
      <c r="O33" s="6"/>
      <c r="P33" s="6"/>
      <c r="Q33" s="6"/>
      <c r="U33" s="1" t="n">
        <v>1</v>
      </c>
      <c r="V33" s="2" t="s">
        <v>39</v>
      </c>
      <c r="X33" s="6" t="s">
        <v>40</v>
      </c>
      <c r="Y33" s="6"/>
      <c r="Z33" s="6" t="str">
        <f aca="false">Z34</f>
        <v>M16</v>
      </c>
      <c r="AA33" s="6" t="n">
        <v>11</v>
      </c>
      <c r="AC33" s="1" t="s">
        <v>42</v>
      </c>
    </row>
    <row r="34" customFormat="false" ht="15" hidden="false" customHeight="true" outlineLevel="0" collapsed="false">
      <c r="A34" s="6" t="s">
        <v>29</v>
      </c>
      <c r="B34" s="7" t="s">
        <v>30</v>
      </c>
      <c r="C34" s="8" t="s">
        <v>30</v>
      </c>
      <c r="D34" s="9" t="n">
        <v>16</v>
      </c>
      <c r="E34" s="8" t="s">
        <v>43</v>
      </c>
      <c r="F34" s="8" t="s">
        <v>101</v>
      </c>
      <c r="G34" s="6" t="s">
        <v>34</v>
      </c>
      <c r="H34" s="6" t="str">
        <f aca="false">IF(Table2[[#This Row],[Need Mark]]="Y",C34&amp;"-"&amp;D34&amp;"/"&amp;L34,"-")</f>
        <v>C4S1-16/P4-TBSI1-M16(14)</v>
      </c>
      <c r="I34" s="6" t="str">
        <f aca="false">IF(Table2[[#This Row],[Need Mark]]="Y",L34&amp;"/"&amp;C34&amp;"-"&amp;D34,"-")</f>
        <v>P4-TBSI1-M16(14)/C4S1-16</v>
      </c>
      <c r="J34" s="6"/>
      <c r="K34" s="6" t="s">
        <v>35</v>
      </c>
      <c r="L34" s="6" t="str">
        <f aca="false">A34&amp;"-"&amp;K34&amp;"-"&amp;Z34&amp;"("&amp;Table2[[#This Row],[Column5]]&amp;")"</f>
        <v>P4-TBSI1-M16(14)</v>
      </c>
      <c r="M34" s="6"/>
      <c r="N34" s="6"/>
      <c r="O34" s="6"/>
      <c r="P34" s="6"/>
      <c r="Q34" s="6"/>
      <c r="U34" s="6" t="n">
        <v>2</v>
      </c>
      <c r="V34" s="2" t="s">
        <v>39</v>
      </c>
      <c r="X34" s="6" t="s">
        <v>40</v>
      </c>
      <c r="Y34" s="6"/>
      <c r="Z34" s="6" t="s">
        <v>102</v>
      </c>
      <c r="AA34" s="6" t="n">
        <v>14</v>
      </c>
      <c r="AC34" s="1" t="s">
        <v>42</v>
      </c>
    </row>
    <row r="35" customFormat="false" ht="15" hidden="false" customHeight="true" outlineLevel="0" collapsed="false">
      <c r="A35" s="6" t="s">
        <v>29</v>
      </c>
      <c r="B35" s="7" t="s">
        <v>30</v>
      </c>
      <c r="C35" s="1" t="s">
        <v>31</v>
      </c>
      <c r="D35" s="3" t="s">
        <v>103</v>
      </c>
      <c r="E35" s="1" t="s">
        <v>33</v>
      </c>
      <c r="F35" s="1" t="s">
        <v>33</v>
      </c>
      <c r="G35" s="6" t="s">
        <v>34</v>
      </c>
      <c r="H35" s="6" t="str">
        <f aca="false">IF(Table2[[#This Row],[Need Mark]]="Y",C35&amp;"-"&amp;D35&amp;"/"&amp;L35,"-")</f>
        <v>TB-24VDC-2(2)/P4-TBSI2-M1(11)</v>
      </c>
      <c r="I35" s="6" t="str">
        <f aca="false">IF(Table2[[#This Row],[Need Mark]]="Y",L35&amp;"/"&amp;C35&amp;"-"&amp;D35,"-")</f>
        <v>P4-TBSI2-M1(11)/TB-24VDC-2(2)</v>
      </c>
      <c r="J35" s="6"/>
      <c r="K35" s="6" t="s">
        <v>104</v>
      </c>
      <c r="L35" s="6" t="str">
        <f aca="false">A35&amp;"-"&amp;K35&amp;"-"&amp;Z35&amp;"("&amp;Table2[[#This Row],[Column5]]&amp;")"</f>
        <v>P4-TBSI2-M1(11)</v>
      </c>
      <c r="M35" s="6"/>
      <c r="N35" s="6"/>
      <c r="O35" s="6"/>
      <c r="P35" s="6"/>
      <c r="Q35" s="6"/>
      <c r="R35" s="1" t="s">
        <v>105</v>
      </c>
      <c r="S35" s="1" t="s">
        <v>106</v>
      </c>
      <c r="T35" s="1" t="s">
        <v>107</v>
      </c>
      <c r="U35" s="1" t="n">
        <v>1</v>
      </c>
      <c r="V35" s="1" t="s">
        <v>39</v>
      </c>
      <c r="X35" s="6" t="s">
        <v>40</v>
      </c>
      <c r="Y35" s="6" t="s">
        <v>41</v>
      </c>
      <c r="Z35" s="6" t="str">
        <f aca="false">Z36</f>
        <v>M1</v>
      </c>
      <c r="AA35" s="6" t="n">
        <v>11</v>
      </c>
      <c r="AC35" s="1" t="s">
        <v>42</v>
      </c>
    </row>
    <row r="36" customFormat="false" ht="15" hidden="false" customHeight="true" outlineLevel="0" collapsed="false">
      <c r="A36" s="6" t="s">
        <v>29</v>
      </c>
      <c r="B36" s="7" t="s">
        <v>30</v>
      </c>
      <c r="C36" s="1" t="s">
        <v>30</v>
      </c>
      <c r="D36" s="3" t="n">
        <v>19</v>
      </c>
      <c r="E36" s="1" t="s">
        <v>43</v>
      </c>
      <c r="F36" s="1" t="s">
        <v>108</v>
      </c>
      <c r="G36" s="6" t="s">
        <v>34</v>
      </c>
      <c r="H36" s="6" t="str">
        <f aca="false">IF(Table2[[#This Row],[Need Mark]]="Y",C36&amp;"-"&amp;D36&amp;"/"&amp;L36,"-")</f>
        <v>C4S1-19/P4-TBSI2-M1(14)</v>
      </c>
      <c r="I36" s="6" t="str">
        <f aca="false">IF(Table2[[#This Row],[Need Mark]]="Y",L36&amp;"/"&amp;C36&amp;"-"&amp;D36,"-")</f>
        <v>P4-TBSI2-M1(14)/C4S1-19</v>
      </c>
      <c r="J36" s="6"/>
      <c r="K36" s="6" t="s">
        <v>104</v>
      </c>
      <c r="L36" s="6" t="str">
        <f aca="false">A36&amp;"-"&amp;K36&amp;"-"&amp;Z36&amp;"("&amp;Table2[[#This Row],[Column5]]&amp;")"</f>
        <v>P4-TBSI2-M1(14)</v>
      </c>
      <c r="M36" s="6"/>
      <c r="N36" s="6"/>
      <c r="O36" s="6"/>
      <c r="P36" s="6"/>
      <c r="Q36" s="6"/>
      <c r="R36" s="1" t="s">
        <v>105</v>
      </c>
      <c r="S36" s="1" t="s">
        <v>106</v>
      </c>
      <c r="T36" s="1" t="s">
        <v>107</v>
      </c>
      <c r="U36" s="6" t="n">
        <v>2</v>
      </c>
      <c r="V36" s="1" t="s">
        <v>39</v>
      </c>
      <c r="X36" s="6" t="s">
        <v>40</v>
      </c>
      <c r="Y36" s="6" t="s">
        <v>41</v>
      </c>
      <c r="Z36" s="6" t="s">
        <v>45</v>
      </c>
      <c r="AA36" s="6" t="n">
        <v>14</v>
      </c>
      <c r="AC36" s="1" t="s">
        <v>42</v>
      </c>
    </row>
    <row r="37" customFormat="false" ht="15" hidden="false" customHeight="true" outlineLevel="0" collapsed="false">
      <c r="A37" s="6" t="s">
        <v>29</v>
      </c>
      <c r="B37" s="7" t="s">
        <v>30</v>
      </c>
      <c r="C37" s="1" t="s">
        <v>31</v>
      </c>
      <c r="D37" s="3" t="s">
        <v>103</v>
      </c>
      <c r="E37" s="1" t="s">
        <v>33</v>
      </c>
      <c r="F37" s="1" t="s">
        <v>33</v>
      </c>
      <c r="G37" s="6"/>
      <c r="H37" s="6" t="str">
        <f aca="false">IF(Table2[[#This Row],[Need Mark]]="Y",C37&amp;"-"&amp;D37&amp;"/"&amp;L37,"-")</f>
        <v>-</v>
      </c>
      <c r="I37" s="6" t="str">
        <f aca="false">IF(Table2[[#This Row],[Need Mark]]="Y",L37&amp;"/"&amp;C37&amp;"-"&amp;D37,"-")</f>
        <v>-</v>
      </c>
      <c r="J37" s="6"/>
      <c r="K37" s="6" t="s">
        <v>104</v>
      </c>
      <c r="L37" s="6" t="str">
        <f aca="false">A37&amp;"-"&amp;K37&amp;"-"&amp;Z37&amp;"("&amp;Table2[[#This Row],[Column5]]&amp;")"</f>
        <v>P4-TBSI2-M2(11)</v>
      </c>
      <c r="M37" s="6"/>
      <c r="N37" s="6"/>
      <c r="O37" s="6"/>
      <c r="P37" s="6"/>
      <c r="Q37" s="6"/>
      <c r="R37" s="1" t="s">
        <v>105</v>
      </c>
      <c r="S37" s="1" t="s">
        <v>106</v>
      </c>
      <c r="T37" s="1" t="s">
        <v>107</v>
      </c>
      <c r="U37" s="1" t="n">
        <v>1</v>
      </c>
      <c r="V37" s="1" t="s">
        <v>39</v>
      </c>
      <c r="X37" s="6" t="s">
        <v>40</v>
      </c>
      <c r="Y37" s="6" t="s">
        <v>41</v>
      </c>
      <c r="Z37" s="6" t="str">
        <f aca="false">Z38</f>
        <v>M2</v>
      </c>
      <c r="AA37" s="6" t="n">
        <v>11</v>
      </c>
      <c r="AC37" s="1" t="s">
        <v>42</v>
      </c>
    </row>
    <row r="38" customFormat="false" ht="15" hidden="false" customHeight="true" outlineLevel="0" collapsed="false">
      <c r="A38" s="6" t="s">
        <v>29</v>
      </c>
      <c r="B38" s="7" t="s">
        <v>30</v>
      </c>
      <c r="C38" s="1" t="s">
        <v>30</v>
      </c>
      <c r="D38" s="3" t="n">
        <v>20</v>
      </c>
      <c r="E38" s="1" t="s">
        <v>43</v>
      </c>
      <c r="F38" s="1" t="s">
        <v>109</v>
      </c>
      <c r="G38" s="6" t="s">
        <v>34</v>
      </c>
      <c r="H38" s="6" t="str">
        <f aca="false">IF(Table2[[#This Row],[Need Mark]]="Y",C38&amp;"-"&amp;D38&amp;"/"&amp;L38,"-")</f>
        <v>C4S1-20/P4-TBSI2-M2(14)</v>
      </c>
      <c r="I38" s="6" t="str">
        <f aca="false">IF(Table2[[#This Row],[Need Mark]]="Y",L38&amp;"/"&amp;C38&amp;"-"&amp;D38,"-")</f>
        <v>P4-TBSI2-M2(14)/C4S1-20</v>
      </c>
      <c r="J38" s="6"/>
      <c r="K38" s="6" t="s">
        <v>104</v>
      </c>
      <c r="L38" s="6" t="str">
        <f aca="false">A38&amp;"-"&amp;K38&amp;"-"&amp;Z38&amp;"("&amp;Table2[[#This Row],[Column5]]&amp;")"</f>
        <v>P4-TBSI2-M2(14)</v>
      </c>
      <c r="M38" s="6"/>
      <c r="N38" s="6"/>
      <c r="O38" s="6"/>
      <c r="P38" s="6"/>
      <c r="Q38" s="6"/>
      <c r="R38" s="1" t="s">
        <v>105</v>
      </c>
      <c r="S38" s="1" t="s">
        <v>106</v>
      </c>
      <c r="T38" s="1" t="s">
        <v>107</v>
      </c>
      <c r="U38" s="6" t="n">
        <v>2</v>
      </c>
      <c r="V38" s="1" t="s">
        <v>39</v>
      </c>
      <c r="X38" s="6" t="s">
        <v>40</v>
      </c>
      <c r="Y38" s="6" t="s">
        <v>41</v>
      </c>
      <c r="Z38" s="6" t="s">
        <v>49</v>
      </c>
      <c r="AA38" s="6" t="n">
        <v>14</v>
      </c>
      <c r="AC38" s="1" t="s">
        <v>42</v>
      </c>
    </row>
    <row r="39" customFormat="false" ht="15" hidden="false" customHeight="true" outlineLevel="0" collapsed="false">
      <c r="A39" s="6" t="s">
        <v>29</v>
      </c>
      <c r="B39" s="7" t="s">
        <v>30</v>
      </c>
      <c r="C39" s="8" t="s">
        <v>31</v>
      </c>
      <c r="D39" s="9" t="s">
        <v>103</v>
      </c>
      <c r="E39" s="8" t="s">
        <v>33</v>
      </c>
      <c r="F39" s="6" t="s">
        <v>33</v>
      </c>
      <c r="G39" s="6"/>
      <c r="H39" s="6" t="str">
        <f aca="false">IF(Table2[[#This Row],[Need Mark]]="Y",C39&amp;"-"&amp;D39&amp;"/"&amp;L39,"-")</f>
        <v>-</v>
      </c>
      <c r="I39" s="6" t="str">
        <f aca="false">IF(Table2[[#This Row],[Need Mark]]="Y",L39&amp;"/"&amp;C39&amp;"-"&amp;D39,"-")</f>
        <v>-</v>
      </c>
      <c r="J39" s="6"/>
      <c r="K39" s="6" t="s">
        <v>104</v>
      </c>
      <c r="L39" s="6" t="str">
        <f aca="false">A39&amp;"-"&amp;K39&amp;"-"&amp;Z39&amp;"("&amp;Table2[[#This Row],[Column5]]&amp;")"</f>
        <v>P4-TBSI2-M2(11)</v>
      </c>
      <c r="M39" s="6"/>
      <c r="N39" s="6"/>
      <c r="O39" s="6"/>
      <c r="P39" s="6"/>
      <c r="Q39" s="6"/>
      <c r="R39" s="1" t="s">
        <v>105</v>
      </c>
      <c r="S39" s="1" t="s">
        <v>110</v>
      </c>
      <c r="T39" s="1" t="s">
        <v>111</v>
      </c>
      <c r="U39" s="1" t="n">
        <v>1</v>
      </c>
      <c r="V39" s="1" t="s">
        <v>39</v>
      </c>
      <c r="X39" s="6" t="s">
        <v>40</v>
      </c>
      <c r="Y39" s="6" t="s">
        <v>41</v>
      </c>
      <c r="Z39" s="6" t="str">
        <f aca="false">Z40</f>
        <v>M2</v>
      </c>
      <c r="AA39" s="6" t="n">
        <v>11</v>
      </c>
      <c r="AC39" s="1" t="s">
        <v>42</v>
      </c>
    </row>
    <row r="40" customFormat="false" ht="15" hidden="false" customHeight="true" outlineLevel="0" collapsed="false">
      <c r="A40" s="6" t="s">
        <v>29</v>
      </c>
      <c r="B40" s="7" t="s">
        <v>30</v>
      </c>
      <c r="C40" s="8" t="s">
        <v>30</v>
      </c>
      <c r="D40" s="9" t="n">
        <v>21</v>
      </c>
      <c r="E40" s="8" t="s">
        <v>43</v>
      </c>
      <c r="F40" s="8" t="s">
        <v>112</v>
      </c>
      <c r="G40" s="6" t="s">
        <v>34</v>
      </c>
      <c r="H40" s="6" t="str">
        <f aca="false">IF(Table2[[#This Row],[Need Mark]]="Y",C40&amp;"-"&amp;D40&amp;"/"&amp;L40,"-")</f>
        <v>C4S1-21/P4-TBSI2-M2(14)</v>
      </c>
      <c r="I40" s="6" t="str">
        <f aca="false">IF(Table2[[#This Row],[Need Mark]]="Y",L40&amp;"/"&amp;C40&amp;"-"&amp;D40,"-")</f>
        <v>P4-TBSI2-M2(14)/C4S1-21</v>
      </c>
      <c r="J40" s="6"/>
      <c r="K40" s="6" t="s">
        <v>104</v>
      </c>
      <c r="L40" s="6" t="str">
        <f aca="false">A40&amp;"-"&amp;K40&amp;"-"&amp;Z40&amp;"("&amp;Table2[[#This Row],[Column5]]&amp;")"</f>
        <v>P4-TBSI2-M2(14)</v>
      </c>
      <c r="M40" s="6"/>
      <c r="N40" s="6"/>
      <c r="O40" s="6"/>
      <c r="P40" s="6"/>
      <c r="Q40" s="6"/>
      <c r="R40" s="1" t="s">
        <v>105</v>
      </c>
      <c r="S40" s="1" t="s">
        <v>110</v>
      </c>
      <c r="T40" s="1" t="s">
        <v>111</v>
      </c>
      <c r="U40" s="6" t="n">
        <v>2</v>
      </c>
      <c r="V40" s="1" t="s">
        <v>39</v>
      </c>
      <c r="X40" s="6" t="s">
        <v>40</v>
      </c>
      <c r="Y40" s="6" t="s">
        <v>41</v>
      </c>
      <c r="Z40" s="6" t="s">
        <v>49</v>
      </c>
      <c r="AA40" s="6" t="n">
        <v>14</v>
      </c>
      <c r="AC40" s="1" t="s">
        <v>42</v>
      </c>
    </row>
    <row r="41" customFormat="false" ht="15" hidden="false" customHeight="true" outlineLevel="0" collapsed="false">
      <c r="A41" s="6" t="s">
        <v>29</v>
      </c>
      <c r="B41" s="7" t="s">
        <v>30</v>
      </c>
      <c r="C41" s="8" t="s">
        <v>31</v>
      </c>
      <c r="D41" s="9" t="s">
        <v>103</v>
      </c>
      <c r="E41" s="8" t="s">
        <v>33</v>
      </c>
      <c r="F41" s="6" t="s">
        <v>33</v>
      </c>
      <c r="G41" s="6"/>
      <c r="H41" s="6" t="str">
        <f aca="false">IF(Table2[[#This Row],[Need Mark]]="Y",C41&amp;"-"&amp;D41&amp;"/"&amp;L41,"-")</f>
        <v>-</v>
      </c>
      <c r="I41" s="6" t="str">
        <f aca="false">IF(Table2[[#This Row],[Need Mark]]="Y",L41&amp;"/"&amp;C41&amp;"-"&amp;D41,"-")</f>
        <v>-</v>
      </c>
      <c r="J41" s="6"/>
      <c r="K41" s="6" t="s">
        <v>104</v>
      </c>
      <c r="L41" s="6" t="str">
        <f aca="false">A41&amp;"-"&amp;K41&amp;"-"&amp;Z41&amp;"("&amp;Table2[[#This Row],[Column5]]&amp;")"</f>
        <v>P4-TBSI2-M3(11)</v>
      </c>
      <c r="M41" s="6"/>
      <c r="N41" s="6"/>
      <c r="O41" s="6"/>
      <c r="P41" s="6"/>
      <c r="Q41" s="6"/>
      <c r="R41" s="1" t="s">
        <v>105</v>
      </c>
      <c r="S41" s="1" t="s">
        <v>113</v>
      </c>
      <c r="T41" s="1" t="s">
        <v>114</v>
      </c>
      <c r="U41" s="1" t="n">
        <v>1</v>
      </c>
      <c r="V41" s="1" t="s">
        <v>39</v>
      </c>
      <c r="X41" s="6" t="s">
        <v>40</v>
      </c>
      <c r="Y41" s="6" t="s">
        <v>41</v>
      </c>
      <c r="Z41" s="6" t="str">
        <f aca="false">Z42</f>
        <v>M3</v>
      </c>
      <c r="AA41" s="6" t="n">
        <v>11</v>
      </c>
      <c r="AC41" s="1" t="s">
        <v>42</v>
      </c>
    </row>
    <row r="42" customFormat="false" ht="15" hidden="false" customHeight="true" outlineLevel="0" collapsed="false">
      <c r="A42" s="6" t="s">
        <v>29</v>
      </c>
      <c r="B42" s="7" t="s">
        <v>30</v>
      </c>
      <c r="C42" s="8" t="s">
        <v>30</v>
      </c>
      <c r="D42" s="9" t="n">
        <v>22</v>
      </c>
      <c r="E42" s="8" t="s">
        <v>43</v>
      </c>
      <c r="F42" s="8" t="s">
        <v>115</v>
      </c>
      <c r="G42" s="6" t="s">
        <v>34</v>
      </c>
      <c r="H42" s="6" t="str">
        <f aca="false">IF(Table2[[#This Row],[Need Mark]]="Y",C42&amp;"-"&amp;D42&amp;"/"&amp;L42,"-")</f>
        <v>C4S1-22/P4-TBSI2-M3(14)</v>
      </c>
      <c r="I42" s="6" t="str">
        <f aca="false">IF(Table2[[#This Row],[Need Mark]]="Y",L42&amp;"/"&amp;C42&amp;"-"&amp;D42,"-")</f>
        <v>P4-TBSI2-M3(14)/C4S1-22</v>
      </c>
      <c r="J42" s="6"/>
      <c r="K42" s="6" t="s">
        <v>104</v>
      </c>
      <c r="L42" s="6" t="str">
        <f aca="false">A42&amp;"-"&amp;K42&amp;"-"&amp;Z42&amp;"("&amp;Table2[[#This Row],[Column5]]&amp;")"</f>
        <v>P4-TBSI2-M3(14)</v>
      </c>
      <c r="M42" s="6"/>
      <c r="N42" s="6"/>
      <c r="O42" s="6"/>
      <c r="P42" s="6"/>
      <c r="Q42" s="6"/>
      <c r="R42" s="1" t="s">
        <v>105</v>
      </c>
      <c r="S42" s="1" t="s">
        <v>113</v>
      </c>
      <c r="T42" s="1" t="s">
        <v>114</v>
      </c>
      <c r="U42" s="6" t="n">
        <v>2</v>
      </c>
      <c r="V42" s="1" t="s">
        <v>39</v>
      </c>
      <c r="X42" s="6" t="s">
        <v>40</v>
      </c>
      <c r="Y42" s="6" t="s">
        <v>41</v>
      </c>
      <c r="Z42" s="6" t="s">
        <v>56</v>
      </c>
      <c r="AA42" s="6" t="n">
        <v>14</v>
      </c>
      <c r="AC42" s="1" t="s">
        <v>42</v>
      </c>
    </row>
    <row r="43" customFormat="false" ht="15" hidden="false" customHeight="true" outlineLevel="0" collapsed="false">
      <c r="A43" s="6" t="s">
        <v>29</v>
      </c>
      <c r="B43" s="7" t="s">
        <v>30</v>
      </c>
      <c r="C43" s="8" t="s">
        <v>31</v>
      </c>
      <c r="D43" s="9" t="s">
        <v>103</v>
      </c>
      <c r="E43" s="8" t="s">
        <v>33</v>
      </c>
      <c r="F43" s="6" t="s">
        <v>33</v>
      </c>
      <c r="G43" s="6"/>
      <c r="H43" s="6" t="str">
        <f aca="false">IF(Table2[[#This Row],[Need Mark]]="Y",C43&amp;"-"&amp;D43&amp;"/"&amp;L43,"-")</f>
        <v>-</v>
      </c>
      <c r="I43" s="6" t="str">
        <f aca="false">IF(Table2[[#This Row],[Need Mark]]="Y",L43&amp;"/"&amp;C43&amp;"-"&amp;D43,"-")</f>
        <v>-</v>
      </c>
      <c r="J43" s="6"/>
      <c r="K43" s="6" t="s">
        <v>104</v>
      </c>
      <c r="L43" s="6" t="str">
        <f aca="false">A43&amp;"-"&amp;K43&amp;"-"&amp;Z43&amp;"("&amp;Table2[[#This Row],[Column5]]&amp;")"</f>
        <v>P4-TBSI2-M5(11)</v>
      </c>
      <c r="M43" s="6"/>
      <c r="N43" s="6"/>
      <c r="O43" s="6"/>
      <c r="P43" s="6"/>
      <c r="Q43" s="6"/>
      <c r="R43" s="1" t="s">
        <v>105</v>
      </c>
      <c r="S43" s="1" t="s">
        <v>116</v>
      </c>
      <c r="T43" s="1" t="s">
        <v>117</v>
      </c>
      <c r="U43" s="1" t="n">
        <v>1</v>
      </c>
      <c r="V43" s="1" t="s">
        <v>39</v>
      </c>
      <c r="X43" s="6" t="s">
        <v>40</v>
      </c>
      <c r="Y43" s="6" t="s">
        <v>41</v>
      </c>
      <c r="Z43" s="6" t="str">
        <f aca="false">Z44</f>
        <v>M5</v>
      </c>
      <c r="AA43" s="6" t="n">
        <v>11</v>
      </c>
      <c r="AC43" s="1" t="s">
        <v>42</v>
      </c>
    </row>
    <row r="44" customFormat="false" ht="15" hidden="false" customHeight="true" outlineLevel="0" collapsed="false">
      <c r="A44" s="6" t="s">
        <v>29</v>
      </c>
      <c r="B44" s="7" t="s">
        <v>30</v>
      </c>
      <c r="C44" s="8" t="s">
        <v>30</v>
      </c>
      <c r="D44" s="9" t="n">
        <v>23</v>
      </c>
      <c r="E44" s="8" t="s">
        <v>43</v>
      </c>
      <c r="F44" s="8" t="s">
        <v>118</v>
      </c>
      <c r="G44" s="6" t="s">
        <v>34</v>
      </c>
      <c r="H44" s="6" t="str">
        <f aca="false">IF(Table2[[#This Row],[Need Mark]]="Y",C44&amp;"-"&amp;D44&amp;"/"&amp;L44,"-")</f>
        <v>C4S1-23/P4-TBSI2-M5(14)</v>
      </c>
      <c r="I44" s="6" t="str">
        <f aca="false">IF(Table2[[#This Row],[Need Mark]]="Y",L44&amp;"/"&amp;C44&amp;"-"&amp;D44,"-")</f>
        <v>P4-TBSI2-M5(14)/C4S1-23</v>
      </c>
      <c r="J44" s="6"/>
      <c r="K44" s="6" t="s">
        <v>104</v>
      </c>
      <c r="L44" s="6" t="str">
        <f aca="false">A44&amp;"-"&amp;K44&amp;"-"&amp;Z44&amp;"("&amp;Table2[[#This Row],[Column5]]&amp;")"</f>
        <v>P4-TBSI2-M5(14)</v>
      </c>
      <c r="M44" s="6"/>
      <c r="N44" s="6"/>
      <c r="O44" s="6"/>
      <c r="P44" s="6"/>
      <c r="Q44" s="6"/>
      <c r="R44" s="1" t="s">
        <v>105</v>
      </c>
      <c r="S44" s="1" t="s">
        <v>116</v>
      </c>
      <c r="T44" s="1" t="s">
        <v>117</v>
      </c>
      <c r="U44" s="6" t="n">
        <v>2</v>
      </c>
      <c r="V44" s="1" t="s">
        <v>39</v>
      </c>
      <c r="X44" s="6" t="s">
        <v>40</v>
      </c>
      <c r="Y44" s="6" t="s">
        <v>41</v>
      </c>
      <c r="Z44" s="6" t="s">
        <v>60</v>
      </c>
      <c r="AA44" s="6" t="n">
        <v>14</v>
      </c>
      <c r="AC44" s="1" t="s">
        <v>42</v>
      </c>
    </row>
    <row r="45" customFormat="false" ht="15" hidden="false" customHeight="true" outlineLevel="0" collapsed="false">
      <c r="A45" s="6" t="s">
        <v>29</v>
      </c>
      <c r="B45" s="7" t="s">
        <v>30</v>
      </c>
      <c r="C45" s="8" t="s">
        <v>31</v>
      </c>
      <c r="D45" s="9" t="s">
        <v>103</v>
      </c>
      <c r="E45" s="8" t="s">
        <v>33</v>
      </c>
      <c r="F45" s="6" t="s">
        <v>33</v>
      </c>
      <c r="G45" s="6"/>
      <c r="H45" s="6" t="str">
        <f aca="false">IF(Table2[[#This Row],[Need Mark]]="Y",C45&amp;"-"&amp;D45&amp;"/"&amp;L45,"-")</f>
        <v>-</v>
      </c>
      <c r="I45" s="6" t="str">
        <f aca="false">IF(Table2[[#This Row],[Need Mark]]="Y",L45&amp;"/"&amp;C45&amp;"-"&amp;D45,"-")</f>
        <v>-</v>
      </c>
      <c r="J45" s="6"/>
      <c r="K45" s="6" t="s">
        <v>104</v>
      </c>
      <c r="L45" s="6" t="str">
        <f aca="false">A45&amp;"-"&amp;K45&amp;"-"&amp;Z45&amp;"("&amp;Table2[[#This Row],[Column5]]&amp;")"</f>
        <v>P4-TBSI2-M6(11)</v>
      </c>
      <c r="M45" s="6"/>
      <c r="N45" s="6"/>
      <c r="O45" s="6"/>
      <c r="P45" s="6"/>
      <c r="Q45" s="6"/>
      <c r="R45" s="1" t="s">
        <v>105</v>
      </c>
      <c r="S45" s="1" t="s">
        <v>119</v>
      </c>
      <c r="T45" s="1" t="s">
        <v>120</v>
      </c>
      <c r="U45" s="1" t="n">
        <v>1</v>
      </c>
      <c r="V45" s="1" t="s">
        <v>39</v>
      </c>
      <c r="X45" s="6" t="s">
        <v>40</v>
      </c>
      <c r="Y45" s="6" t="s">
        <v>41</v>
      </c>
      <c r="Z45" s="6" t="str">
        <f aca="false">Z46</f>
        <v>M6</v>
      </c>
      <c r="AA45" s="6" t="n">
        <v>11</v>
      </c>
      <c r="AC45" s="1" t="s">
        <v>42</v>
      </c>
    </row>
    <row r="46" customFormat="false" ht="15" hidden="false" customHeight="true" outlineLevel="0" collapsed="false">
      <c r="A46" s="6" t="s">
        <v>29</v>
      </c>
      <c r="B46" s="7" t="s">
        <v>30</v>
      </c>
      <c r="C46" s="8" t="s">
        <v>30</v>
      </c>
      <c r="D46" s="9" t="n">
        <v>24</v>
      </c>
      <c r="E46" s="8" t="s">
        <v>43</v>
      </c>
      <c r="F46" s="6" t="s">
        <v>121</v>
      </c>
      <c r="G46" s="6" t="s">
        <v>34</v>
      </c>
      <c r="H46" s="6" t="str">
        <f aca="false">IF(Table2[[#This Row],[Need Mark]]="Y",C46&amp;"-"&amp;D46&amp;"/"&amp;L46,"-")</f>
        <v>C4S1-24/P4-TBSI2-M6(14)</v>
      </c>
      <c r="I46" s="6" t="str">
        <f aca="false">IF(Table2[[#This Row],[Need Mark]]="Y",L46&amp;"/"&amp;C46&amp;"-"&amp;D46,"-")</f>
        <v>P4-TBSI2-M6(14)/C4S1-24</v>
      </c>
      <c r="J46" s="6"/>
      <c r="K46" s="6" t="s">
        <v>104</v>
      </c>
      <c r="L46" s="6" t="str">
        <f aca="false">A46&amp;"-"&amp;K46&amp;"-"&amp;Z46&amp;"("&amp;Table2[[#This Row],[Column5]]&amp;")"</f>
        <v>P4-TBSI2-M6(14)</v>
      </c>
      <c r="M46" s="6"/>
      <c r="N46" s="6"/>
      <c r="O46" s="6"/>
      <c r="P46" s="6"/>
      <c r="Q46" s="6"/>
      <c r="R46" s="1" t="s">
        <v>105</v>
      </c>
      <c r="S46" s="1" t="s">
        <v>119</v>
      </c>
      <c r="T46" s="1" t="s">
        <v>120</v>
      </c>
      <c r="U46" s="6" t="n">
        <v>2</v>
      </c>
      <c r="V46" s="1" t="s">
        <v>39</v>
      </c>
      <c r="X46" s="6" t="s">
        <v>40</v>
      </c>
      <c r="Y46" s="6" t="s">
        <v>41</v>
      </c>
      <c r="Z46" s="6" t="s">
        <v>64</v>
      </c>
      <c r="AA46" s="6" t="n">
        <v>14</v>
      </c>
      <c r="AC46" s="1" t="s">
        <v>42</v>
      </c>
    </row>
    <row r="47" customFormat="false" ht="15" hidden="false" customHeight="true" outlineLevel="0" collapsed="false">
      <c r="A47" s="6" t="s">
        <v>29</v>
      </c>
      <c r="B47" s="7" t="s">
        <v>30</v>
      </c>
      <c r="C47" s="8" t="s">
        <v>31</v>
      </c>
      <c r="D47" s="9" t="s">
        <v>103</v>
      </c>
      <c r="E47" s="8" t="s">
        <v>33</v>
      </c>
      <c r="F47" s="6" t="s">
        <v>33</v>
      </c>
      <c r="G47" s="6"/>
      <c r="H47" s="6" t="str">
        <f aca="false">IF(Table2[[#This Row],[Need Mark]]="Y",C47&amp;"-"&amp;D47&amp;"/"&amp;L47,"-")</f>
        <v>-</v>
      </c>
      <c r="I47" s="6" t="str">
        <f aca="false">IF(Table2[[#This Row],[Need Mark]]="Y",L47&amp;"/"&amp;C47&amp;"-"&amp;D47,"-")</f>
        <v>-</v>
      </c>
      <c r="J47" s="6"/>
      <c r="K47" s="6" t="s">
        <v>104</v>
      </c>
      <c r="L47" s="6" t="str">
        <f aca="false">A47&amp;"-"&amp;K47&amp;"-"&amp;Z47&amp;"("&amp;Table2[[#This Row],[Column5]]&amp;")"</f>
        <v>P4-TBSI2-M7(11)</v>
      </c>
      <c r="M47" s="6"/>
      <c r="N47" s="6"/>
      <c r="O47" s="6"/>
      <c r="P47" s="6"/>
      <c r="Q47" s="6"/>
      <c r="R47" s="1" t="s">
        <v>105</v>
      </c>
      <c r="S47" s="1" t="s">
        <v>122</v>
      </c>
      <c r="T47" s="1" t="s">
        <v>123</v>
      </c>
      <c r="U47" s="1" t="n">
        <v>1</v>
      </c>
      <c r="V47" s="1" t="s">
        <v>39</v>
      </c>
      <c r="X47" s="6" t="s">
        <v>40</v>
      </c>
      <c r="Y47" s="6" t="s">
        <v>41</v>
      </c>
      <c r="Z47" s="6" t="str">
        <f aca="false">Z48</f>
        <v>M7</v>
      </c>
      <c r="AA47" s="6" t="n">
        <v>11</v>
      </c>
      <c r="AC47" s="1" t="s">
        <v>42</v>
      </c>
    </row>
    <row r="48" customFormat="false" ht="15" hidden="false" customHeight="true" outlineLevel="0" collapsed="false">
      <c r="A48" s="6" t="s">
        <v>29</v>
      </c>
      <c r="B48" s="7" t="s">
        <v>30</v>
      </c>
      <c r="C48" s="8" t="s">
        <v>30</v>
      </c>
      <c r="D48" s="9" t="n">
        <v>25</v>
      </c>
      <c r="E48" s="8" t="s">
        <v>43</v>
      </c>
      <c r="F48" s="6" t="s">
        <v>124</v>
      </c>
      <c r="G48" s="6" t="s">
        <v>34</v>
      </c>
      <c r="H48" s="6" t="str">
        <f aca="false">IF(Table2[[#This Row],[Need Mark]]="Y",C48&amp;"-"&amp;D48&amp;"/"&amp;L48,"-")</f>
        <v>C4S1-25/P4-TBSI2-M7(14)</v>
      </c>
      <c r="I48" s="6" t="str">
        <f aca="false">IF(Table2[[#This Row],[Need Mark]]="Y",L48&amp;"/"&amp;C48&amp;"-"&amp;D48,"-")</f>
        <v>P4-TBSI2-M7(14)/C4S1-25</v>
      </c>
      <c r="J48" s="6"/>
      <c r="K48" s="6" t="s">
        <v>104</v>
      </c>
      <c r="L48" s="6" t="str">
        <f aca="false">A48&amp;"-"&amp;K48&amp;"-"&amp;Z48&amp;"("&amp;Table2[[#This Row],[Column5]]&amp;")"</f>
        <v>P4-TBSI2-M7(14)</v>
      </c>
      <c r="M48" s="6"/>
      <c r="N48" s="6"/>
      <c r="O48" s="6"/>
      <c r="P48" s="6"/>
      <c r="Q48" s="6"/>
      <c r="R48" s="1" t="s">
        <v>105</v>
      </c>
      <c r="S48" s="1" t="s">
        <v>122</v>
      </c>
      <c r="T48" s="1" t="s">
        <v>123</v>
      </c>
      <c r="U48" s="6" t="n">
        <v>2</v>
      </c>
      <c r="V48" s="1" t="s">
        <v>39</v>
      </c>
      <c r="X48" s="6" t="s">
        <v>40</v>
      </c>
      <c r="Y48" s="6" t="s">
        <v>41</v>
      </c>
      <c r="Z48" s="6" t="s">
        <v>68</v>
      </c>
      <c r="AA48" s="6" t="n">
        <v>14</v>
      </c>
      <c r="AC48" s="1" t="s">
        <v>42</v>
      </c>
    </row>
    <row r="49" customFormat="false" ht="15" hidden="false" customHeight="true" outlineLevel="0" collapsed="false">
      <c r="A49" s="6" t="s">
        <v>29</v>
      </c>
      <c r="B49" s="7" t="s">
        <v>30</v>
      </c>
      <c r="C49" s="8" t="s">
        <v>31</v>
      </c>
      <c r="D49" s="9" t="s">
        <v>103</v>
      </c>
      <c r="E49" s="8" t="s">
        <v>33</v>
      </c>
      <c r="F49" s="6" t="s">
        <v>33</v>
      </c>
      <c r="G49" s="6"/>
      <c r="H49" s="6" t="str">
        <f aca="false">IF(Table2[[#This Row],[Need Mark]]="Y",C49&amp;"-"&amp;D49&amp;"/"&amp;L49,"-")</f>
        <v>-</v>
      </c>
      <c r="I49" s="6" t="str">
        <f aca="false">IF(Table2[[#This Row],[Need Mark]]="Y",L49&amp;"/"&amp;C49&amp;"-"&amp;D49,"-")</f>
        <v>-</v>
      </c>
      <c r="J49" s="6"/>
      <c r="K49" s="6" t="s">
        <v>104</v>
      </c>
      <c r="L49" s="6" t="str">
        <f aca="false">A49&amp;"-"&amp;K49&amp;"-"&amp;Z49&amp;"("&amp;Table2[[#This Row],[Column5]]&amp;")"</f>
        <v>P4-TBSI2-M8(11)</v>
      </c>
      <c r="M49" s="6"/>
      <c r="N49" s="6"/>
      <c r="O49" s="6"/>
      <c r="P49" s="6"/>
      <c r="Q49" s="6"/>
      <c r="R49" s="1" t="s">
        <v>105</v>
      </c>
      <c r="S49" s="1" t="s">
        <v>125</v>
      </c>
      <c r="T49" s="1" t="s">
        <v>126</v>
      </c>
      <c r="U49" s="1" t="n">
        <v>1</v>
      </c>
      <c r="V49" s="1" t="s">
        <v>39</v>
      </c>
      <c r="X49" s="6" t="s">
        <v>40</v>
      </c>
      <c r="Y49" s="6" t="s">
        <v>41</v>
      </c>
      <c r="Z49" s="6" t="str">
        <f aca="false">Z50</f>
        <v>M8</v>
      </c>
      <c r="AA49" s="6" t="n">
        <v>11</v>
      </c>
      <c r="AC49" s="1" t="s">
        <v>42</v>
      </c>
    </row>
    <row r="50" customFormat="false" ht="15" hidden="false" customHeight="true" outlineLevel="0" collapsed="false">
      <c r="A50" s="6" t="s">
        <v>29</v>
      </c>
      <c r="B50" s="7" t="s">
        <v>30</v>
      </c>
      <c r="C50" s="8" t="s">
        <v>30</v>
      </c>
      <c r="D50" s="9" t="n">
        <v>26</v>
      </c>
      <c r="E50" s="8" t="s">
        <v>43</v>
      </c>
      <c r="F50" s="6" t="s">
        <v>127</v>
      </c>
      <c r="G50" s="6" t="s">
        <v>34</v>
      </c>
      <c r="H50" s="6" t="str">
        <f aca="false">IF(Table2[[#This Row],[Need Mark]]="Y",C50&amp;"-"&amp;D50&amp;"/"&amp;L50,"-")</f>
        <v>C4S1-26/P4-TBSI2-M8(14)</v>
      </c>
      <c r="I50" s="6" t="str">
        <f aca="false">IF(Table2[[#This Row],[Need Mark]]="Y",L50&amp;"/"&amp;C50&amp;"-"&amp;D50,"-")</f>
        <v>P4-TBSI2-M8(14)/C4S1-26</v>
      </c>
      <c r="J50" s="6"/>
      <c r="K50" s="6" t="s">
        <v>104</v>
      </c>
      <c r="L50" s="6" t="str">
        <f aca="false">A50&amp;"-"&amp;K50&amp;"-"&amp;Z50&amp;"("&amp;Table2[[#This Row],[Column5]]&amp;")"</f>
        <v>P4-TBSI2-M8(14)</v>
      </c>
      <c r="M50" s="6"/>
      <c r="N50" s="6"/>
      <c r="O50" s="6"/>
      <c r="P50" s="6"/>
      <c r="Q50" s="6"/>
      <c r="R50" s="1" t="s">
        <v>105</v>
      </c>
      <c r="S50" s="1" t="s">
        <v>125</v>
      </c>
      <c r="T50" s="1" t="s">
        <v>126</v>
      </c>
      <c r="U50" s="6" t="n">
        <v>2</v>
      </c>
      <c r="V50" s="1" t="s">
        <v>39</v>
      </c>
      <c r="X50" s="6" t="s">
        <v>40</v>
      </c>
      <c r="Y50" s="6" t="s">
        <v>41</v>
      </c>
      <c r="Z50" s="6" t="s">
        <v>72</v>
      </c>
      <c r="AA50" s="6" t="n">
        <v>14</v>
      </c>
      <c r="AC50" s="1" t="s">
        <v>42</v>
      </c>
    </row>
    <row r="51" customFormat="false" ht="15" hidden="false" customHeight="true" outlineLevel="0" collapsed="false">
      <c r="A51" s="6" t="s">
        <v>29</v>
      </c>
      <c r="B51" s="7" t="s">
        <v>30</v>
      </c>
      <c r="C51" s="8" t="s">
        <v>31</v>
      </c>
      <c r="D51" s="9" t="s">
        <v>103</v>
      </c>
      <c r="E51" s="8" t="s">
        <v>33</v>
      </c>
      <c r="F51" s="6" t="s">
        <v>33</v>
      </c>
      <c r="G51" s="6"/>
      <c r="H51" s="6" t="str">
        <f aca="false">IF(Table2[[#This Row],[Need Mark]]="Y",C51&amp;"-"&amp;D51&amp;"/"&amp;L51,"-")</f>
        <v>-</v>
      </c>
      <c r="I51" s="6" t="str">
        <f aca="false">IF(Table2[[#This Row],[Need Mark]]="Y",L51&amp;"/"&amp;C51&amp;"-"&amp;D51,"-")</f>
        <v>-</v>
      </c>
      <c r="J51" s="6"/>
      <c r="K51" s="6" t="s">
        <v>104</v>
      </c>
      <c r="L51" s="6" t="str">
        <f aca="false">A51&amp;"-"&amp;K51&amp;"-"&amp;Z51&amp;"("&amp;Table2[[#This Row],[Column5]]&amp;")"</f>
        <v>P4-TBSI2-M9(11)</v>
      </c>
      <c r="M51" s="6"/>
      <c r="N51" s="6"/>
      <c r="O51" s="6"/>
      <c r="P51" s="6"/>
      <c r="Q51" s="6"/>
      <c r="R51" s="1" t="s">
        <v>128</v>
      </c>
      <c r="S51" s="1" t="s">
        <v>129</v>
      </c>
      <c r="T51" s="1" t="s">
        <v>130</v>
      </c>
      <c r="U51" s="1" t="n">
        <v>1</v>
      </c>
      <c r="V51" s="1" t="s">
        <v>39</v>
      </c>
      <c r="X51" s="6" t="s">
        <v>40</v>
      </c>
      <c r="Y51" s="6" t="s">
        <v>41</v>
      </c>
      <c r="Z51" s="6" t="str">
        <f aca="false">Z52</f>
        <v>M9</v>
      </c>
      <c r="AA51" s="6" t="n">
        <v>11</v>
      </c>
      <c r="AC51" s="1" t="s">
        <v>42</v>
      </c>
    </row>
    <row r="52" customFormat="false" ht="15" hidden="false" customHeight="true" outlineLevel="0" collapsed="false">
      <c r="A52" s="6" t="s">
        <v>29</v>
      </c>
      <c r="B52" s="7" t="s">
        <v>30</v>
      </c>
      <c r="C52" s="8" t="s">
        <v>30</v>
      </c>
      <c r="D52" s="9" t="n">
        <v>27</v>
      </c>
      <c r="E52" s="8" t="s">
        <v>43</v>
      </c>
      <c r="F52" s="6" t="s">
        <v>131</v>
      </c>
      <c r="G52" s="6" t="s">
        <v>34</v>
      </c>
      <c r="H52" s="6" t="str">
        <f aca="false">IF(Table2[[#This Row],[Need Mark]]="Y",C52&amp;"-"&amp;D52&amp;"/"&amp;L52,"-")</f>
        <v>C4S1-27/P4-TBSI2-M9(14)</v>
      </c>
      <c r="I52" s="6" t="str">
        <f aca="false">IF(Table2[[#This Row],[Need Mark]]="Y",L52&amp;"/"&amp;C52&amp;"-"&amp;D52,"-")</f>
        <v>P4-TBSI2-M9(14)/C4S1-27</v>
      </c>
      <c r="J52" s="6"/>
      <c r="K52" s="6" t="s">
        <v>104</v>
      </c>
      <c r="L52" s="6" t="str">
        <f aca="false">A52&amp;"-"&amp;K52&amp;"-"&amp;Z52&amp;"("&amp;Table2[[#This Row],[Column5]]&amp;")"</f>
        <v>P4-TBSI2-M9(14)</v>
      </c>
      <c r="M52" s="6"/>
      <c r="N52" s="6"/>
      <c r="O52" s="6"/>
      <c r="P52" s="6"/>
      <c r="Q52" s="6"/>
      <c r="R52" s="1" t="s">
        <v>128</v>
      </c>
      <c r="S52" s="1" t="s">
        <v>129</v>
      </c>
      <c r="T52" s="1" t="s">
        <v>130</v>
      </c>
      <c r="U52" s="6" t="n">
        <v>2</v>
      </c>
      <c r="V52" s="1" t="s">
        <v>39</v>
      </c>
      <c r="X52" s="6" t="s">
        <v>40</v>
      </c>
      <c r="Y52" s="6" t="s">
        <v>41</v>
      </c>
      <c r="Z52" s="6" t="s">
        <v>76</v>
      </c>
      <c r="AA52" s="6" t="n">
        <v>14</v>
      </c>
      <c r="AC52" s="1" t="s">
        <v>42</v>
      </c>
    </row>
    <row r="53" customFormat="false" ht="15" hidden="false" customHeight="true" outlineLevel="0" collapsed="false">
      <c r="A53" s="6" t="s">
        <v>29</v>
      </c>
      <c r="B53" s="7" t="s">
        <v>30</v>
      </c>
      <c r="C53" s="8" t="s">
        <v>31</v>
      </c>
      <c r="D53" s="9" t="s">
        <v>103</v>
      </c>
      <c r="E53" s="8" t="s">
        <v>33</v>
      </c>
      <c r="F53" s="6" t="s">
        <v>33</v>
      </c>
      <c r="G53" s="6"/>
      <c r="H53" s="6" t="str">
        <f aca="false">IF(Table2[[#This Row],[Need Mark]]="Y",C53&amp;"-"&amp;D53&amp;"/"&amp;L53,"-")</f>
        <v>-</v>
      </c>
      <c r="I53" s="6" t="str">
        <f aca="false">IF(Table2[[#This Row],[Need Mark]]="Y",L53&amp;"/"&amp;C53&amp;"-"&amp;D53,"-")</f>
        <v>-</v>
      </c>
      <c r="J53" s="6"/>
      <c r="K53" s="6" t="s">
        <v>104</v>
      </c>
      <c r="L53" s="6" t="str">
        <f aca="false">A53&amp;"-"&amp;K53&amp;"-"&amp;Z53&amp;"("&amp;Table2[[#This Row],[Column5]]&amp;")"</f>
        <v>P4-TBSI2-M10(11)</v>
      </c>
      <c r="M53" s="6"/>
      <c r="N53" s="6"/>
      <c r="O53" s="6"/>
      <c r="P53" s="6"/>
      <c r="Q53" s="6"/>
      <c r="R53" s="1" t="s">
        <v>128</v>
      </c>
      <c r="S53" s="1" t="s">
        <v>132</v>
      </c>
      <c r="T53" s="1" t="s">
        <v>133</v>
      </c>
      <c r="U53" s="1" t="n">
        <v>1</v>
      </c>
      <c r="V53" s="1" t="s">
        <v>39</v>
      </c>
      <c r="X53" s="6" t="s">
        <v>40</v>
      </c>
      <c r="Y53" s="6" t="s">
        <v>41</v>
      </c>
      <c r="Z53" s="6" t="str">
        <f aca="false">Z54</f>
        <v>M10</v>
      </c>
      <c r="AA53" s="6" t="n">
        <v>11</v>
      </c>
      <c r="AC53" s="1" t="s">
        <v>42</v>
      </c>
    </row>
    <row r="54" customFormat="false" ht="15" hidden="false" customHeight="true" outlineLevel="0" collapsed="false">
      <c r="A54" s="6" t="s">
        <v>29</v>
      </c>
      <c r="B54" s="7" t="s">
        <v>30</v>
      </c>
      <c r="C54" s="8" t="s">
        <v>30</v>
      </c>
      <c r="D54" s="9" t="n">
        <v>28</v>
      </c>
      <c r="E54" s="8" t="s">
        <v>43</v>
      </c>
      <c r="F54" s="6" t="s">
        <v>134</v>
      </c>
      <c r="G54" s="6" t="s">
        <v>34</v>
      </c>
      <c r="H54" s="6" t="str">
        <f aca="false">IF(Table2[[#This Row],[Need Mark]]="Y",C54&amp;"-"&amp;D54&amp;"/"&amp;L54,"-")</f>
        <v>C4S1-28/P4-TBSI2-M10(14)</v>
      </c>
      <c r="I54" s="6" t="str">
        <f aca="false">IF(Table2[[#This Row],[Need Mark]]="Y",L54&amp;"/"&amp;C54&amp;"-"&amp;D54,"-")</f>
        <v>P4-TBSI2-M10(14)/C4S1-28</v>
      </c>
      <c r="J54" s="6"/>
      <c r="K54" s="6" t="s">
        <v>104</v>
      </c>
      <c r="L54" s="6" t="str">
        <f aca="false">A54&amp;"-"&amp;K54&amp;"-"&amp;Z54&amp;"("&amp;Table2[[#This Row],[Column5]]&amp;")"</f>
        <v>P4-TBSI2-M10(14)</v>
      </c>
      <c r="M54" s="6"/>
      <c r="N54" s="6"/>
      <c r="O54" s="6"/>
      <c r="P54" s="6"/>
      <c r="Q54" s="6"/>
      <c r="R54" s="1" t="s">
        <v>128</v>
      </c>
      <c r="S54" s="1" t="s">
        <v>132</v>
      </c>
      <c r="T54" s="1" t="s">
        <v>133</v>
      </c>
      <c r="U54" s="6" t="n">
        <v>2</v>
      </c>
      <c r="V54" s="1" t="s">
        <v>39</v>
      </c>
      <c r="X54" s="6" t="s">
        <v>40</v>
      </c>
      <c r="Y54" s="6" t="s">
        <v>41</v>
      </c>
      <c r="Z54" s="6" t="s">
        <v>80</v>
      </c>
      <c r="AA54" s="6" t="n">
        <v>14</v>
      </c>
      <c r="AC54" s="1" t="s">
        <v>42</v>
      </c>
    </row>
    <row r="55" customFormat="false" ht="15" hidden="false" customHeight="true" outlineLevel="0" collapsed="false">
      <c r="A55" s="6" t="s">
        <v>29</v>
      </c>
      <c r="B55" s="7" t="s">
        <v>30</v>
      </c>
      <c r="C55" s="8" t="s">
        <v>31</v>
      </c>
      <c r="D55" s="9" t="s">
        <v>103</v>
      </c>
      <c r="E55" s="8" t="s">
        <v>33</v>
      </c>
      <c r="F55" s="6" t="s">
        <v>33</v>
      </c>
      <c r="G55" s="6"/>
      <c r="H55" s="6" t="str">
        <f aca="false">IF(Table2[[#This Row],[Need Mark]]="Y",C55&amp;"-"&amp;D55&amp;"/"&amp;L55,"-")</f>
        <v>-</v>
      </c>
      <c r="I55" s="6" t="str">
        <f aca="false">IF(Table2[[#This Row],[Need Mark]]="Y",L55&amp;"/"&amp;C55&amp;"-"&amp;D55,"-")</f>
        <v>-</v>
      </c>
      <c r="J55" s="6"/>
      <c r="K55" s="6" t="s">
        <v>104</v>
      </c>
      <c r="L55" s="6" t="str">
        <f aca="false">A55&amp;"-"&amp;K55&amp;"-"&amp;Z55&amp;"("&amp;Table2[[#This Row],[Column5]]&amp;")"</f>
        <v>P4-TBSI2-M11(11)</v>
      </c>
      <c r="M55" s="6"/>
      <c r="N55" s="6"/>
      <c r="O55" s="6"/>
      <c r="P55" s="6"/>
      <c r="Q55" s="6"/>
      <c r="R55" s="1" t="s">
        <v>128</v>
      </c>
      <c r="S55" s="1" t="s">
        <v>135</v>
      </c>
      <c r="T55" s="1" t="s">
        <v>136</v>
      </c>
      <c r="U55" s="1" t="n">
        <v>1</v>
      </c>
      <c r="V55" s="1" t="s">
        <v>39</v>
      </c>
      <c r="X55" s="6" t="s">
        <v>40</v>
      </c>
      <c r="Y55" s="6" t="s">
        <v>41</v>
      </c>
      <c r="Z55" s="6" t="str">
        <f aca="false">Z56</f>
        <v>M11</v>
      </c>
      <c r="AA55" s="6" t="n">
        <v>11</v>
      </c>
      <c r="AC55" s="1" t="s">
        <v>42</v>
      </c>
    </row>
    <row r="56" customFormat="false" ht="15" hidden="false" customHeight="true" outlineLevel="0" collapsed="false">
      <c r="A56" s="6" t="s">
        <v>29</v>
      </c>
      <c r="B56" s="7" t="s">
        <v>30</v>
      </c>
      <c r="C56" s="8" t="s">
        <v>30</v>
      </c>
      <c r="D56" s="9" t="n">
        <v>29</v>
      </c>
      <c r="E56" s="8" t="s">
        <v>43</v>
      </c>
      <c r="F56" s="6" t="s">
        <v>137</v>
      </c>
      <c r="G56" s="6" t="s">
        <v>34</v>
      </c>
      <c r="H56" s="6" t="str">
        <f aca="false">IF(Table2[[#This Row],[Need Mark]]="Y",C56&amp;"-"&amp;D56&amp;"/"&amp;L56,"-")</f>
        <v>C4S1-29/P4-TBSI2-M11(14)</v>
      </c>
      <c r="I56" s="6" t="str">
        <f aca="false">IF(Table2[[#This Row],[Need Mark]]="Y",L56&amp;"/"&amp;C56&amp;"-"&amp;D56,"-")</f>
        <v>P4-TBSI2-M11(14)/C4S1-29</v>
      </c>
      <c r="J56" s="6"/>
      <c r="K56" s="6" t="s">
        <v>104</v>
      </c>
      <c r="L56" s="6" t="str">
        <f aca="false">A56&amp;"-"&amp;K56&amp;"-"&amp;Z56&amp;"("&amp;Table2[[#This Row],[Column5]]&amp;")"</f>
        <v>P4-TBSI2-M11(14)</v>
      </c>
      <c r="M56" s="6"/>
      <c r="N56" s="6"/>
      <c r="O56" s="6"/>
      <c r="P56" s="6"/>
      <c r="Q56" s="6"/>
      <c r="R56" s="1" t="s">
        <v>128</v>
      </c>
      <c r="S56" s="1" t="s">
        <v>135</v>
      </c>
      <c r="T56" s="1" t="s">
        <v>136</v>
      </c>
      <c r="U56" s="6" t="n">
        <v>2</v>
      </c>
      <c r="V56" s="1" t="s">
        <v>39</v>
      </c>
      <c r="X56" s="6" t="s">
        <v>40</v>
      </c>
      <c r="Y56" s="6" t="s">
        <v>41</v>
      </c>
      <c r="Z56" s="6" t="s">
        <v>84</v>
      </c>
      <c r="AA56" s="6" t="n">
        <v>14</v>
      </c>
      <c r="AC56" s="1" t="s">
        <v>42</v>
      </c>
    </row>
    <row r="57" customFormat="false" ht="15" hidden="false" customHeight="true" outlineLevel="0" collapsed="false">
      <c r="A57" s="6" t="s">
        <v>29</v>
      </c>
      <c r="B57" s="7" t="s">
        <v>30</v>
      </c>
      <c r="C57" s="8" t="s">
        <v>31</v>
      </c>
      <c r="D57" s="9" t="s">
        <v>103</v>
      </c>
      <c r="E57" s="8" t="s">
        <v>33</v>
      </c>
      <c r="F57" s="6" t="s">
        <v>33</v>
      </c>
      <c r="G57" s="6"/>
      <c r="H57" s="6" t="str">
        <f aca="false">IF(Table2[[#This Row],[Need Mark]]="Y",C57&amp;"-"&amp;D57&amp;"/"&amp;L57,"-")</f>
        <v>-</v>
      </c>
      <c r="I57" s="6" t="str">
        <f aca="false">IF(Table2[[#This Row],[Need Mark]]="Y",L57&amp;"/"&amp;C57&amp;"-"&amp;D57,"-")</f>
        <v>-</v>
      </c>
      <c r="J57" s="6"/>
      <c r="K57" s="6" t="s">
        <v>104</v>
      </c>
      <c r="L57" s="6" t="str">
        <f aca="false">A57&amp;"-"&amp;K57&amp;"-"&amp;Z57&amp;"("&amp;Table2[[#This Row],[Column5]]&amp;")"</f>
        <v>P4-TBSI2-M12(11)</v>
      </c>
      <c r="M57" s="6"/>
      <c r="N57" s="6"/>
      <c r="O57" s="6"/>
      <c r="P57" s="6"/>
      <c r="Q57" s="6"/>
      <c r="R57" s="1" t="s">
        <v>128</v>
      </c>
      <c r="S57" s="1" t="s">
        <v>138</v>
      </c>
      <c r="T57" s="1" t="s">
        <v>139</v>
      </c>
      <c r="U57" s="1" t="n">
        <v>1</v>
      </c>
      <c r="V57" s="1" t="s">
        <v>39</v>
      </c>
      <c r="X57" s="6" t="s">
        <v>40</v>
      </c>
      <c r="Y57" s="6" t="s">
        <v>41</v>
      </c>
      <c r="Z57" s="6" t="str">
        <f aca="false">Z58</f>
        <v>M12</v>
      </c>
      <c r="AA57" s="6" t="n">
        <v>11</v>
      </c>
      <c r="AC57" s="1" t="s">
        <v>42</v>
      </c>
    </row>
    <row r="58" customFormat="false" ht="15" hidden="false" customHeight="true" outlineLevel="0" collapsed="false">
      <c r="A58" s="6" t="s">
        <v>29</v>
      </c>
      <c r="B58" s="7" t="s">
        <v>30</v>
      </c>
      <c r="C58" s="8" t="s">
        <v>30</v>
      </c>
      <c r="D58" s="9" t="n">
        <v>30</v>
      </c>
      <c r="E58" s="8" t="s">
        <v>43</v>
      </c>
      <c r="F58" s="6" t="s">
        <v>140</v>
      </c>
      <c r="G58" s="6" t="s">
        <v>34</v>
      </c>
      <c r="H58" s="6" t="str">
        <f aca="false">IF(Table2[[#This Row],[Need Mark]]="Y",C58&amp;"-"&amp;D58&amp;"/"&amp;L58,"-")</f>
        <v>C4S1-30/P4-TBSI2-M12(14)</v>
      </c>
      <c r="I58" s="6" t="str">
        <f aca="false">IF(Table2[[#This Row],[Need Mark]]="Y",L58&amp;"/"&amp;C58&amp;"-"&amp;D58,"-")</f>
        <v>P4-TBSI2-M12(14)/C4S1-30</v>
      </c>
      <c r="J58" s="6"/>
      <c r="K58" s="6" t="s">
        <v>104</v>
      </c>
      <c r="L58" s="6" t="str">
        <f aca="false">A58&amp;"-"&amp;K58&amp;"-"&amp;Z58&amp;"("&amp;Table2[[#This Row],[Column5]]&amp;")"</f>
        <v>P4-TBSI2-M12(14)</v>
      </c>
      <c r="M58" s="6"/>
      <c r="N58" s="6"/>
      <c r="O58" s="6"/>
      <c r="P58" s="6"/>
      <c r="Q58" s="6"/>
      <c r="R58" s="1" t="s">
        <v>128</v>
      </c>
      <c r="S58" s="1" t="s">
        <v>138</v>
      </c>
      <c r="T58" s="1" t="s">
        <v>139</v>
      </c>
      <c r="U58" s="6" t="n">
        <v>2</v>
      </c>
      <c r="V58" s="1" t="s">
        <v>39</v>
      </c>
      <c r="X58" s="6" t="s">
        <v>40</v>
      </c>
      <c r="Y58" s="6" t="s">
        <v>41</v>
      </c>
      <c r="Z58" s="6" t="s">
        <v>88</v>
      </c>
      <c r="AA58" s="6" t="n">
        <v>14</v>
      </c>
      <c r="AC58" s="1" t="s">
        <v>42</v>
      </c>
    </row>
    <row r="59" customFormat="false" ht="15" hidden="false" customHeight="true" outlineLevel="0" collapsed="false">
      <c r="A59" s="6" t="s">
        <v>29</v>
      </c>
      <c r="B59" s="7" t="s">
        <v>30</v>
      </c>
      <c r="C59" s="8" t="s">
        <v>31</v>
      </c>
      <c r="D59" s="9" t="s">
        <v>103</v>
      </c>
      <c r="E59" s="8" t="s">
        <v>33</v>
      </c>
      <c r="F59" s="6" t="s">
        <v>33</v>
      </c>
      <c r="G59" s="6"/>
      <c r="H59" s="6" t="str">
        <f aca="false">IF(Table2[[#This Row],[Need Mark]]="Y",C59&amp;"-"&amp;D59&amp;"/"&amp;L59,"-")</f>
        <v>-</v>
      </c>
      <c r="I59" s="6" t="str">
        <f aca="false">IF(Table2[[#This Row],[Need Mark]]="Y",L59&amp;"/"&amp;C59&amp;"-"&amp;D59,"-")</f>
        <v>-</v>
      </c>
      <c r="J59" s="6"/>
      <c r="K59" s="6" t="s">
        <v>104</v>
      </c>
      <c r="L59" s="6" t="str">
        <f aca="false">A59&amp;"-"&amp;K59&amp;"-"&amp;Z59&amp;"("&amp;Table2[[#This Row],[Column5]]&amp;")"</f>
        <v>P4-TBSI2-M13(11)</v>
      </c>
      <c r="M59" s="6"/>
      <c r="N59" s="6"/>
      <c r="O59" s="6"/>
      <c r="P59" s="6"/>
      <c r="Q59" s="6"/>
      <c r="R59" s="1" t="s">
        <v>128</v>
      </c>
      <c r="S59" s="1" t="s">
        <v>141</v>
      </c>
      <c r="T59" s="1" t="s">
        <v>142</v>
      </c>
      <c r="U59" s="1" t="n">
        <v>1</v>
      </c>
      <c r="V59" s="1" t="s">
        <v>39</v>
      </c>
      <c r="X59" s="6" t="s">
        <v>40</v>
      </c>
      <c r="Y59" s="6" t="s">
        <v>41</v>
      </c>
      <c r="Z59" s="6" t="str">
        <f aca="false">Z60</f>
        <v>M13</v>
      </c>
      <c r="AA59" s="6" t="n">
        <v>11</v>
      </c>
      <c r="AC59" s="1" t="s">
        <v>42</v>
      </c>
    </row>
    <row r="60" customFormat="false" ht="15" hidden="false" customHeight="true" outlineLevel="0" collapsed="false">
      <c r="A60" s="6" t="s">
        <v>29</v>
      </c>
      <c r="B60" s="7" t="s">
        <v>30</v>
      </c>
      <c r="C60" s="8" t="s">
        <v>30</v>
      </c>
      <c r="D60" s="9" t="n">
        <v>31</v>
      </c>
      <c r="E60" s="8" t="s">
        <v>43</v>
      </c>
      <c r="F60" s="6" t="s">
        <v>143</v>
      </c>
      <c r="G60" s="6" t="s">
        <v>34</v>
      </c>
      <c r="H60" s="6" t="str">
        <f aca="false">IF(Table2[[#This Row],[Need Mark]]="Y",C60&amp;"-"&amp;D60&amp;"/"&amp;L60,"-")</f>
        <v>C4S1-31/P4-TBSI2-M13(14)</v>
      </c>
      <c r="I60" s="6" t="str">
        <f aca="false">IF(Table2[[#This Row],[Need Mark]]="Y",L60&amp;"/"&amp;C60&amp;"-"&amp;D60,"-")</f>
        <v>P4-TBSI2-M13(14)/C4S1-31</v>
      </c>
      <c r="J60" s="6"/>
      <c r="K60" s="6" t="s">
        <v>104</v>
      </c>
      <c r="L60" s="6" t="str">
        <f aca="false">A60&amp;"-"&amp;K60&amp;"-"&amp;Z60&amp;"("&amp;Table2[[#This Row],[Column5]]&amp;")"</f>
        <v>P4-TBSI2-M13(14)</v>
      </c>
      <c r="M60" s="6"/>
      <c r="N60" s="6"/>
      <c r="O60" s="6"/>
      <c r="P60" s="6"/>
      <c r="Q60" s="6"/>
      <c r="R60" s="1" t="s">
        <v>128</v>
      </c>
      <c r="S60" s="1" t="s">
        <v>141</v>
      </c>
      <c r="T60" s="1" t="s">
        <v>142</v>
      </c>
      <c r="U60" s="6" t="n">
        <v>2</v>
      </c>
      <c r="V60" s="1" t="s">
        <v>39</v>
      </c>
      <c r="X60" s="6" t="s">
        <v>40</v>
      </c>
      <c r="Y60" s="6" t="s">
        <v>41</v>
      </c>
      <c r="Z60" s="6" t="s">
        <v>92</v>
      </c>
      <c r="AA60" s="6" t="n">
        <v>14</v>
      </c>
      <c r="AC60" s="1" t="s">
        <v>42</v>
      </c>
    </row>
    <row r="61" customFormat="false" ht="15" hidden="false" customHeight="true" outlineLevel="0" collapsed="false">
      <c r="A61" s="6" t="s">
        <v>29</v>
      </c>
      <c r="B61" s="7" t="s">
        <v>30</v>
      </c>
      <c r="C61" s="8" t="s">
        <v>31</v>
      </c>
      <c r="D61" s="9" t="s">
        <v>103</v>
      </c>
      <c r="E61" s="8" t="s">
        <v>33</v>
      </c>
      <c r="F61" s="6" t="s">
        <v>33</v>
      </c>
      <c r="G61" s="6"/>
      <c r="H61" s="6" t="str">
        <f aca="false">IF(Table2[[#This Row],[Need Mark]]="Y",C61&amp;"-"&amp;D61&amp;"/"&amp;L61,"-")</f>
        <v>-</v>
      </c>
      <c r="I61" s="6" t="str">
        <f aca="false">IF(Table2[[#This Row],[Need Mark]]="Y",L61&amp;"/"&amp;C61&amp;"-"&amp;D61,"-")</f>
        <v>-</v>
      </c>
      <c r="J61" s="6"/>
      <c r="K61" s="6" t="s">
        <v>104</v>
      </c>
      <c r="L61" s="6" t="str">
        <f aca="false">A61&amp;"-"&amp;K61&amp;"-"&amp;Z61&amp;"("&amp;Table2[[#This Row],[Column5]]&amp;")"</f>
        <v>P4-TBSI2-M14(11)</v>
      </c>
      <c r="M61" s="6"/>
      <c r="N61" s="6"/>
      <c r="O61" s="6"/>
      <c r="P61" s="6"/>
      <c r="Q61" s="6"/>
      <c r="R61" s="1" t="s">
        <v>128</v>
      </c>
      <c r="S61" s="1" t="s">
        <v>144</v>
      </c>
      <c r="T61" s="1" t="s">
        <v>145</v>
      </c>
      <c r="U61" s="1" t="n">
        <v>1</v>
      </c>
      <c r="V61" s="1" t="s">
        <v>39</v>
      </c>
      <c r="X61" s="6" t="s">
        <v>40</v>
      </c>
      <c r="Y61" s="6" t="s">
        <v>41</v>
      </c>
      <c r="Z61" s="6" t="str">
        <f aca="false">Z62</f>
        <v>M14</v>
      </c>
      <c r="AA61" s="6" t="n">
        <v>11</v>
      </c>
      <c r="AC61" s="1" t="s">
        <v>42</v>
      </c>
    </row>
    <row r="62" customFormat="false" ht="15" hidden="false" customHeight="true" outlineLevel="0" collapsed="false">
      <c r="A62" s="6" t="s">
        <v>29</v>
      </c>
      <c r="B62" s="7" t="s">
        <v>30</v>
      </c>
      <c r="C62" s="8" t="s">
        <v>30</v>
      </c>
      <c r="D62" s="9" t="n">
        <v>32</v>
      </c>
      <c r="E62" s="8" t="s">
        <v>43</v>
      </c>
      <c r="F62" s="6" t="s">
        <v>146</v>
      </c>
      <c r="G62" s="6" t="s">
        <v>34</v>
      </c>
      <c r="H62" s="6" t="str">
        <f aca="false">IF(Table2[[#This Row],[Need Mark]]="Y",C62&amp;"-"&amp;D62&amp;"/"&amp;L62,"-")</f>
        <v>C4S1-32/P4-TBSI2-M14(14)</v>
      </c>
      <c r="I62" s="6" t="str">
        <f aca="false">IF(Table2[[#This Row],[Need Mark]]="Y",L62&amp;"/"&amp;C62&amp;"-"&amp;D62,"-")</f>
        <v>P4-TBSI2-M14(14)/C4S1-32</v>
      </c>
      <c r="J62" s="6"/>
      <c r="K62" s="6" t="s">
        <v>104</v>
      </c>
      <c r="L62" s="6" t="str">
        <f aca="false">A62&amp;"-"&amp;K62&amp;"-"&amp;Z62&amp;"("&amp;Table2[[#This Row],[Column5]]&amp;")"</f>
        <v>P4-TBSI2-M14(14)</v>
      </c>
      <c r="M62" s="6"/>
      <c r="N62" s="6"/>
      <c r="O62" s="6"/>
      <c r="P62" s="6"/>
      <c r="Q62" s="6"/>
      <c r="R62" s="1" t="s">
        <v>128</v>
      </c>
      <c r="S62" s="1" t="s">
        <v>144</v>
      </c>
      <c r="T62" s="1" t="s">
        <v>145</v>
      </c>
      <c r="U62" s="6" t="n">
        <v>2</v>
      </c>
      <c r="V62" s="1" t="s">
        <v>39</v>
      </c>
      <c r="X62" s="6" t="s">
        <v>40</v>
      </c>
      <c r="Y62" s="6" t="s">
        <v>41</v>
      </c>
      <c r="Z62" s="6" t="s">
        <v>96</v>
      </c>
      <c r="AA62" s="6" t="n">
        <v>14</v>
      </c>
      <c r="AC62" s="1" t="s">
        <v>42</v>
      </c>
    </row>
    <row r="63" customFormat="false" ht="15" hidden="false" customHeight="true" outlineLevel="0" collapsed="false">
      <c r="A63" s="6" t="s">
        <v>29</v>
      </c>
      <c r="B63" s="7" t="s">
        <v>30</v>
      </c>
      <c r="C63" s="8" t="s">
        <v>31</v>
      </c>
      <c r="D63" s="9" t="s">
        <v>103</v>
      </c>
      <c r="E63" s="8" t="s">
        <v>33</v>
      </c>
      <c r="F63" s="6" t="s">
        <v>33</v>
      </c>
      <c r="G63" s="6"/>
      <c r="H63" s="6" t="str">
        <f aca="false">IF(Table2[[#This Row],[Need Mark]]="Y",C63&amp;"-"&amp;D63&amp;"/"&amp;L63,"-")</f>
        <v>-</v>
      </c>
      <c r="I63" s="6" t="str">
        <f aca="false">IF(Table2[[#This Row],[Need Mark]]="Y",L63&amp;"/"&amp;C63&amp;"-"&amp;D63,"-")</f>
        <v>-</v>
      </c>
      <c r="J63" s="6"/>
      <c r="K63" s="6" t="s">
        <v>104</v>
      </c>
      <c r="L63" s="6" t="str">
        <f aca="false">A63&amp;"-"&amp;K63&amp;"-"&amp;Z63&amp;"("&amp;Table2[[#This Row],[Column5]]&amp;")"</f>
        <v>P4-TBSI2-M15(11)</v>
      </c>
      <c r="M63" s="6"/>
      <c r="N63" s="6"/>
      <c r="O63" s="6"/>
      <c r="P63" s="6"/>
      <c r="Q63" s="6"/>
      <c r="R63" s="1" t="s">
        <v>128</v>
      </c>
      <c r="S63" s="1" t="s">
        <v>147</v>
      </c>
      <c r="T63" s="1" t="s">
        <v>148</v>
      </c>
      <c r="U63" s="1" t="n">
        <v>1</v>
      </c>
      <c r="V63" s="1" t="s">
        <v>39</v>
      </c>
      <c r="X63" s="6" t="s">
        <v>40</v>
      </c>
      <c r="Y63" s="6" t="s">
        <v>41</v>
      </c>
      <c r="Z63" s="6" t="str">
        <f aca="false">Z64</f>
        <v>M15</v>
      </c>
      <c r="AA63" s="6" t="n">
        <v>11</v>
      </c>
      <c r="AC63" s="1" t="s">
        <v>42</v>
      </c>
    </row>
    <row r="64" customFormat="false" ht="15" hidden="false" customHeight="true" outlineLevel="0" collapsed="false">
      <c r="A64" s="6" t="s">
        <v>29</v>
      </c>
      <c r="B64" s="7" t="s">
        <v>30</v>
      </c>
      <c r="C64" s="8" t="s">
        <v>30</v>
      </c>
      <c r="D64" s="9" t="n">
        <v>33</v>
      </c>
      <c r="E64" s="8" t="s">
        <v>43</v>
      </c>
      <c r="F64" s="6" t="s">
        <v>149</v>
      </c>
      <c r="G64" s="6" t="s">
        <v>34</v>
      </c>
      <c r="H64" s="6" t="str">
        <f aca="false">IF(Table2[[#This Row],[Need Mark]]="Y",C64&amp;"-"&amp;D64&amp;"/"&amp;L64,"-")</f>
        <v>C4S1-33/P4-TBSI2-M15(14)</v>
      </c>
      <c r="I64" s="6" t="str">
        <f aca="false">IF(Table2[[#This Row],[Need Mark]]="Y",L64&amp;"/"&amp;C64&amp;"-"&amp;D64,"-")</f>
        <v>P4-TBSI2-M15(14)/C4S1-33</v>
      </c>
      <c r="J64" s="6"/>
      <c r="K64" s="6" t="s">
        <v>104</v>
      </c>
      <c r="L64" s="6" t="str">
        <f aca="false">A64&amp;"-"&amp;K64&amp;"-"&amp;Z64&amp;"("&amp;Table2[[#This Row],[Column5]]&amp;")"</f>
        <v>P4-TBSI2-M15(14)</v>
      </c>
      <c r="M64" s="6"/>
      <c r="N64" s="6"/>
      <c r="O64" s="6"/>
      <c r="P64" s="6"/>
      <c r="Q64" s="6"/>
      <c r="R64" s="1" t="s">
        <v>128</v>
      </c>
      <c r="S64" s="1" t="s">
        <v>147</v>
      </c>
      <c r="T64" s="1" t="s">
        <v>148</v>
      </c>
      <c r="U64" s="6" t="n">
        <v>2</v>
      </c>
      <c r="V64" s="1" t="s">
        <v>39</v>
      </c>
      <c r="X64" s="6" t="s">
        <v>40</v>
      </c>
      <c r="Y64" s="6" t="s">
        <v>41</v>
      </c>
      <c r="Z64" s="6" t="s">
        <v>100</v>
      </c>
      <c r="AA64" s="6" t="n">
        <v>14</v>
      </c>
      <c r="AC64" s="1" t="s">
        <v>42</v>
      </c>
    </row>
    <row r="65" customFormat="false" ht="15" hidden="false" customHeight="true" outlineLevel="0" collapsed="false">
      <c r="A65" s="6" t="s">
        <v>29</v>
      </c>
      <c r="B65" s="7" t="s">
        <v>30</v>
      </c>
      <c r="C65" s="8" t="s">
        <v>31</v>
      </c>
      <c r="D65" s="9" t="s">
        <v>103</v>
      </c>
      <c r="E65" s="8" t="s">
        <v>33</v>
      </c>
      <c r="F65" s="6" t="s">
        <v>33</v>
      </c>
      <c r="G65" s="6"/>
      <c r="H65" s="6" t="str">
        <f aca="false">IF(Table2[[#This Row],[Need Mark]]="Y",C65&amp;"-"&amp;D65&amp;"/"&amp;L65,"-")</f>
        <v>-</v>
      </c>
      <c r="I65" s="6" t="str">
        <f aca="false">IF(Table2[[#This Row],[Need Mark]]="Y",L65&amp;"/"&amp;C65&amp;"-"&amp;D65,"-")</f>
        <v>-</v>
      </c>
      <c r="J65" s="6"/>
      <c r="K65" s="6" t="s">
        <v>104</v>
      </c>
      <c r="L65" s="6" t="str">
        <f aca="false">A65&amp;"-"&amp;K65&amp;"-"&amp;Z65&amp;"("&amp;Table2[[#This Row],[Column5]]&amp;")"</f>
        <v>P4-TBSI2-M16(11)</v>
      </c>
      <c r="M65" s="6"/>
      <c r="N65" s="6"/>
      <c r="O65" s="6"/>
      <c r="P65" s="6"/>
      <c r="Q65" s="6"/>
      <c r="R65" s="1" t="s">
        <v>128</v>
      </c>
      <c r="S65" s="1" t="s">
        <v>150</v>
      </c>
      <c r="T65" s="1" t="s">
        <v>151</v>
      </c>
      <c r="U65" s="1" t="n">
        <v>1</v>
      </c>
      <c r="V65" s="1" t="s">
        <v>39</v>
      </c>
      <c r="X65" s="6" t="s">
        <v>40</v>
      </c>
      <c r="Y65" s="6" t="s">
        <v>41</v>
      </c>
      <c r="Z65" s="6" t="str">
        <f aca="false">Z66</f>
        <v>M16</v>
      </c>
      <c r="AA65" s="6" t="n">
        <v>11</v>
      </c>
      <c r="AC65" s="1" t="s">
        <v>42</v>
      </c>
    </row>
    <row r="66" customFormat="false" ht="15" hidden="false" customHeight="true" outlineLevel="0" collapsed="false">
      <c r="A66" s="6" t="s">
        <v>29</v>
      </c>
      <c r="B66" s="7" t="s">
        <v>30</v>
      </c>
      <c r="C66" s="8" t="s">
        <v>30</v>
      </c>
      <c r="D66" s="9" t="n">
        <v>34</v>
      </c>
      <c r="E66" s="8" t="s">
        <v>43</v>
      </c>
      <c r="F66" s="6" t="s">
        <v>152</v>
      </c>
      <c r="G66" s="6" t="s">
        <v>34</v>
      </c>
      <c r="H66" s="6" t="str">
        <f aca="false">IF(Table2[[#This Row],[Need Mark]]="Y",C66&amp;"-"&amp;D66&amp;"/"&amp;L66,"-")</f>
        <v>C4S1-34/P4-TBSI2-M16(14)</v>
      </c>
      <c r="I66" s="6" t="str">
        <f aca="false">IF(Table2[[#This Row],[Need Mark]]="Y",L66&amp;"/"&amp;C66&amp;"-"&amp;D66,"-")</f>
        <v>P4-TBSI2-M16(14)/C4S1-34</v>
      </c>
      <c r="J66" s="6"/>
      <c r="K66" s="6" t="s">
        <v>104</v>
      </c>
      <c r="L66" s="6" t="str">
        <f aca="false">A66&amp;"-"&amp;K66&amp;"-"&amp;Z66&amp;"("&amp;Table2[[#This Row],[Column5]]&amp;")"</f>
        <v>P4-TBSI2-M16(14)</v>
      </c>
      <c r="M66" s="6"/>
      <c r="N66" s="6"/>
      <c r="O66" s="6"/>
      <c r="P66" s="6"/>
      <c r="Q66" s="6"/>
      <c r="R66" s="1" t="s">
        <v>128</v>
      </c>
      <c r="S66" s="1" t="s">
        <v>150</v>
      </c>
      <c r="T66" s="1" t="s">
        <v>151</v>
      </c>
      <c r="U66" s="6" t="n">
        <v>2</v>
      </c>
      <c r="V66" s="1" t="s">
        <v>39</v>
      </c>
      <c r="X66" s="6" t="s">
        <v>40</v>
      </c>
      <c r="Y66" s="6" t="s">
        <v>41</v>
      </c>
      <c r="Z66" s="6" t="s">
        <v>102</v>
      </c>
      <c r="AA66" s="6" t="n">
        <v>14</v>
      </c>
      <c r="AC66" s="1" t="s">
        <v>42</v>
      </c>
    </row>
    <row r="67" customFormat="false" ht="15" hidden="false" customHeight="true" outlineLevel="0" collapsed="false">
      <c r="A67" s="6" t="s">
        <v>29</v>
      </c>
      <c r="B67" s="7" t="s">
        <v>153</v>
      </c>
      <c r="C67" s="8" t="s">
        <v>31</v>
      </c>
      <c r="D67" s="9" t="s">
        <v>32</v>
      </c>
      <c r="E67" s="8" t="s">
        <v>33</v>
      </c>
      <c r="F67" s="6" t="s">
        <v>33</v>
      </c>
      <c r="G67" s="6" t="s">
        <v>34</v>
      </c>
      <c r="H67" s="6" t="str">
        <f aca="false">IF(Table2[[#This Row],[Need Mark]]="Y",C67&amp;"-"&amp;D67&amp;"/"&amp;L67,"-")</f>
        <v>TB-24VDC-2(1)/P4-TBSI3-M1(11)</v>
      </c>
      <c r="I67" s="6" t="str">
        <f aca="false">IF(Table2[[#This Row],[Need Mark]]="Y",L67&amp;"/"&amp;C67&amp;"-"&amp;D67,"-")</f>
        <v>P4-TBSI3-M1(11)/TB-24VDC-2(1)</v>
      </c>
      <c r="J67" s="6"/>
      <c r="K67" s="6" t="s">
        <v>154</v>
      </c>
      <c r="L67" s="6" t="str">
        <f aca="false">A67&amp;"-"&amp;K67&amp;"-"&amp;Z67&amp;"("&amp;Table2[[#This Row],[Column5]]&amp;")"</f>
        <v>P4-TBSI3-M1(11)</v>
      </c>
      <c r="M67" s="6"/>
      <c r="N67" s="6"/>
      <c r="O67" s="6"/>
      <c r="P67" s="6"/>
      <c r="Q67" s="6"/>
      <c r="R67" s="1" t="s">
        <v>128</v>
      </c>
      <c r="S67" s="1" t="s">
        <v>155</v>
      </c>
      <c r="T67" s="1" t="s">
        <v>156</v>
      </c>
      <c r="U67" s="1" t="n">
        <v>1</v>
      </c>
      <c r="V67" s="1" t="s">
        <v>39</v>
      </c>
      <c r="X67" s="6" t="s">
        <v>40</v>
      </c>
      <c r="Y67" s="6" t="s">
        <v>41</v>
      </c>
      <c r="Z67" s="6" t="str">
        <f aca="false">Z68</f>
        <v>M1</v>
      </c>
      <c r="AA67" s="6" t="n">
        <v>11</v>
      </c>
      <c r="AC67" s="1" t="s">
        <v>42</v>
      </c>
    </row>
    <row r="68" customFormat="false" ht="15" hidden="false" customHeight="true" outlineLevel="0" collapsed="false">
      <c r="A68" s="6" t="s">
        <v>29</v>
      </c>
      <c r="B68" s="7" t="s">
        <v>153</v>
      </c>
      <c r="C68" s="8" t="s">
        <v>153</v>
      </c>
      <c r="D68" s="9" t="n">
        <v>1</v>
      </c>
      <c r="E68" s="8" t="s">
        <v>43</v>
      </c>
      <c r="F68" s="8" t="s">
        <v>44</v>
      </c>
      <c r="G68" s="6" t="s">
        <v>34</v>
      </c>
      <c r="H68" s="6" t="str">
        <f aca="false">IF(Table2[[#This Row],[Need Mark]]="Y",C68&amp;"-"&amp;D68&amp;"/"&amp;L68,"-")</f>
        <v>C4S2-1/P4-TBSI3-M1(14)</v>
      </c>
      <c r="I68" s="6" t="str">
        <f aca="false">IF(Table2[[#This Row],[Need Mark]]="Y",L68&amp;"/"&amp;C68&amp;"-"&amp;D68,"-")</f>
        <v>P4-TBSI3-M1(14)/C4S2-1</v>
      </c>
      <c r="J68" s="6"/>
      <c r="K68" s="6" t="s">
        <v>154</v>
      </c>
      <c r="L68" s="6" t="str">
        <f aca="false">A68&amp;"-"&amp;K68&amp;"-"&amp;Z68&amp;"("&amp;Table2[[#This Row],[Column5]]&amp;")"</f>
        <v>P4-TBSI3-M1(14)</v>
      </c>
      <c r="M68" s="6"/>
      <c r="N68" s="6"/>
      <c r="O68" s="6"/>
      <c r="P68" s="6"/>
      <c r="Q68" s="6"/>
      <c r="R68" s="1" t="s">
        <v>128</v>
      </c>
      <c r="S68" s="1" t="s">
        <v>155</v>
      </c>
      <c r="T68" s="1" t="s">
        <v>156</v>
      </c>
      <c r="U68" s="6" t="n">
        <v>2</v>
      </c>
      <c r="V68" s="1" t="s">
        <v>39</v>
      </c>
      <c r="X68" s="6" t="s">
        <v>40</v>
      </c>
      <c r="Y68" s="6" t="s">
        <v>41</v>
      </c>
      <c r="Z68" s="6" t="s">
        <v>45</v>
      </c>
      <c r="AA68" s="6" t="n">
        <v>14</v>
      </c>
      <c r="AC68" s="1" t="s">
        <v>42</v>
      </c>
    </row>
    <row r="69" customFormat="false" ht="15" hidden="false" customHeight="true" outlineLevel="0" collapsed="false">
      <c r="A69" s="6" t="s">
        <v>29</v>
      </c>
      <c r="B69" s="7" t="s">
        <v>153</v>
      </c>
      <c r="C69" s="8" t="s">
        <v>31</v>
      </c>
      <c r="D69" s="9" t="s">
        <v>32</v>
      </c>
      <c r="E69" s="8" t="s">
        <v>33</v>
      </c>
      <c r="F69" s="6" t="s">
        <v>33</v>
      </c>
      <c r="G69" s="6"/>
      <c r="H69" s="6" t="str">
        <f aca="false">IF(Table2[[#This Row],[Need Mark]]="Y",C69&amp;"-"&amp;D69&amp;"/"&amp;L69,"-")</f>
        <v>-</v>
      </c>
      <c r="I69" s="6" t="str">
        <f aca="false">IF(Table2[[#This Row],[Need Mark]]="Y",L69&amp;"/"&amp;C69&amp;"-"&amp;D69,"-")</f>
        <v>-</v>
      </c>
      <c r="J69" s="6"/>
      <c r="K69" s="6" t="s">
        <v>154</v>
      </c>
      <c r="L69" s="6" t="str">
        <f aca="false">A69&amp;"-"&amp;K69&amp;"-"&amp;Z69&amp;"("&amp;Table2[[#This Row],[Column5]]&amp;")"</f>
        <v>P4-TBSI3-M2(11)</v>
      </c>
      <c r="M69" s="6"/>
      <c r="N69" s="6"/>
      <c r="O69" s="6"/>
      <c r="P69" s="6"/>
      <c r="Q69" s="6"/>
      <c r="R69" s="1" t="s">
        <v>128</v>
      </c>
      <c r="S69" s="1" t="s">
        <v>157</v>
      </c>
      <c r="T69" s="1" t="s">
        <v>158</v>
      </c>
      <c r="U69" s="1" t="n">
        <v>1</v>
      </c>
      <c r="V69" s="1" t="s">
        <v>39</v>
      </c>
      <c r="X69" s="6" t="s">
        <v>40</v>
      </c>
      <c r="Y69" s="6" t="s">
        <v>41</v>
      </c>
      <c r="Z69" s="6" t="str">
        <f aca="false">Z70</f>
        <v>M2</v>
      </c>
      <c r="AA69" s="6" t="n">
        <v>11</v>
      </c>
      <c r="AC69" s="1" t="s">
        <v>42</v>
      </c>
    </row>
    <row r="70" customFormat="false" ht="15" hidden="false" customHeight="true" outlineLevel="0" collapsed="false">
      <c r="A70" s="6" t="s">
        <v>29</v>
      </c>
      <c r="B70" s="7" t="s">
        <v>153</v>
      </c>
      <c r="C70" s="8" t="s">
        <v>153</v>
      </c>
      <c r="D70" s="9" t="n">
        <v>2</v>
      </c>
      <c r="E70" s="8" t="s">
        <v>43</v>
      </c>
      <c r="F70" s="8" t="s">
        <v>48</v>
      </c>
      <c r="G70" s="6" t="s">
        <v>34</v>
      </c>
      <c r="H70" s="6" t="str">
        <f aca="false">IF(Table2[[#This Row],[Need Mark]]="Y",C70&amp;"-"&amp;D70&amp;"/"&amp;L70,"-")</f>
        <v>C4S2-2/P4-TBSI3-M2(14)</v>
      </c>
      <c r="I70" s="6" t="str">
        <f aca="false">IF(Table2[[#This Row],[Need Mark]]="Y",L70&amp;"/"&amp;C70&amp;"-"&amp;D70,"-")</f>
        <v>P4-TBSI3-M2(14)/C4S2-2</v>
      </c>
      <c r="J70" s="6"/>
      <c r="K70" s="6" t="s">
        <v>154</v>
      </c>
      <c r="L70" s="6" t="str">
        <f aca="false">A70&amp;"-"&amp;K70&amp;"-"&amp;Z70&amp;"("&amp;Table2[[#This Row],[Column5]]&amp;")"</f>
        <v>P4-TBSI3-M2(14)</v>
      </c>
      <c r="M70" s="6"/>
      <c r="N70" s="6"/>
      <c r="O70" s="6"/>
      <c r="P70" s="6"/>
      <c r="Q70" s="6"/>
      <c r="R70" s="1" t="s">
        <v>128</v>
      </c>
      <c r="S70" s="1" t="s">
        <v>157</v>
      </c>
      <c r="T70" s="1" t="s">
        <v>158</v>
      </c>
      <c r="U70" s="6" t="n">
        <v>2</v>
      </c>
      <c r="V70" s="1" t="s">
        <v>39</v>
      </c>
      <c r="X70" s="6" t="s">
        <v>40</v>
      </c>
      <c r="Y70" s="6" t="s">
        <v>41</v>
      </c>
      <c r="Z70" s="6" t="s">
        <v>49</v>
      </c>
      <c r="AA70" s="6" t="n">
        <v>14</v>
      </c>
      <c r="AC70" s="1" t="s">
        <v>42</v>
      </c>
    </row>
    <row r="71" customFormat="false" ht="15" hidden="false" customHeight="true" outlineLevel="0" collapsed="false">
      <c r="A71" s="6" t="s">
        <v>29</v>
      </c>
      <c r="B71" s="7" t="s">
        <v>153</v>
      </c>
      <c r="C71" s="8" t="s">
        <v>31</v>
      </c>
      <c r="D71" s="9" t="s">
        <v>32</v>
      </c>
      <c r="E71" s="8" t="s">
        <v>33</v>
      </c>
      <c r="F71" s="6" t="s">
        <v>33</v>
      </c>
      <c r="G71" s="6"/>
      <c r="H71" s="6" t="str">
        <f aca="false">IF(Table2[[#This Row],[Need Mark]]="Y",C71&amp;"-"&amp;D71&amp;"/"&amp;L71,"-")</f>
        <v>-</v>
      </c>
      <c r="I71" s="6" t="str">
        <f aca="false">IF(Table2[[#This Row],[Need Mark]]="Y",L71&amp;"/"&amp;C71&amp;"-"&amp;D71,"-")</f>
        <v>-</v>
      </c>
      <c r="J71" s="6"/>
      <c r="K71" s="6" t="s">
        <v>154</v>
      </c>
      <c r="L71" s="6" t="str">
        <f aca="false">A71&amp;"-"&amp;K71&amp;"-"&amp;Z71&amp;"("&amp;Table2[[#This Row],[Column5]]&amp;")"</f>
        <v>P4-TBSI3-M2(11)</v>
      </c>
      <c r="M71" s="6"/>
      <c r="N71" s="6"/>
      <c r="O71" s="6"/>
      <c r="P71" s="6"/>
      <c r="Q71" s="6"/>
      <c r="R71" s="1" t="s">
        <v>128</v>
      </c>
      <c r="S71" s="1" t="s">
        <v>159</v>
      </c>
      <c r="T71" s="1" t="s">
        <v>160</v>
      </c>
      <c r="U71" s="1" t="n">
        <v>1</v>
      </c>
      <c r="V71" s="1" t="s">
        <v>39</v>
      </c>
      <c r="X71" s="6" t="s">
        <v>40</v>
      </c>
      <c r="Y71" s="6" t="s">
        <v>41</v>
      </c>
      <c r="Z71" s="6" t="str">
        <f aca="false">Z72</f>
        <v>M2</v>
      </c>
      <c r="AA71" s="6" t="n">
        <v>11</v>
      </c>
      <c r="AC71" s="1" t="s">
        <v>42</v>
      </c>
    </row>
    <row r="72" customFormat="false" ht="15" hidden="false" customHeight="true" outlineLevel="0" collapsed="false">
      <c r="A72" s="6" t="s">
        <v>29</v>
      </c>
      <c r="B72" s="7" t="s">
        <v>153</v>
      </c>
      <c r="C72" s="8" t="s">
        <v>153</v>
      </c>
      <c r="D72" s="9" t="n">
        <v>3</v>
      </c>
      <c r="E72" s="8" t="s">
        <v>43</v>
      </c>
      <c r="F72" s="8" t="s">
        <v>52</v>
      </c>
      <c r="G72" s="6" t="s">
        <v>34</v>
      </c>
      <c r="H72" s="6" t="str">
        <f aca="false">IF(Table2[[#This Row],[Need Mark]]="Y",C72&amp;"-"&amp;D72&amp;"/"&amp;L72,"-")</f>
        <v>C4S2-3/P4-TBSI3-M2(14)</v>
      </c>
      <c r="I72" s="6" t="str">
        <f aca="false">IF(Table2[[#This Row],[Need Mark]]="Y",L72&amp;"/"&amp;C72&amp;"-"&amp;D72,"-")</f>
        <v>P4-TBSI3-M2(14)/C4S2-3</v>
      </c>
      <c r="J72" s="6"/>
      <c r="K72" s="6" t="s">
        <v>154</v>
      </c>
      <c r="L72" s="6" t="str">
        <f aca="false">A72&amp;"-"&amp;K72&amp;"-"&amp;Z72&amp;"("&amp;Table2[[#This Row],[Column5]]&amp;")"</f>
        <v>P4-TBSI3-M2(14)</v>
      </c>
      <c r="M72" s="6"/>
      <c r="N72" s="6"/>
      <c r="O72" s="6"/>
      <c r="P72" s="6"/>
      <c r="Q72" s="6"/>
      <c r="R72" s="1" t="s">
        <v>128</v>
      </c>
      <c r="S72" s="1" t="s">
        <v>159</v>
      </c>
      <c r="T72" s="1" t="s">
        <v>160</v>
      </c>
      <c r="U72" s="6" t="n">
        <v>2</v>
      </c>
      <c r="V72" s="1" t="s">
        <v>39</v>
      </c>
      <c r="X72" s="6" t="s">
        <v>40</v>
      </c>
      <c r="Y72" s="6" t="s">
        <v>41</v>
      </c>
      <c r="Z72" s="6" t="s">
        <v>49</v>
      </c>
      <c r="AA72" s="6" t="n">
        <v>14</v>
      </c>
      <c r="AC72" s="1" t="s">
        <v>42</v>
      </c>
    </row>
    <row r="73" customFormat="false" ht="15" hidden="false" customHeight="true" outlineLevel="0" collapsed="false">
      <c r="A73" s="6" t="s">
        <v>29</v>
      </c>
      <c r="B73" s="7" t="s">
        <v>153</v>
      </c>
      <c r="C73" s="8" t="s">
        <v>31</v>
      </c>
      <c r="D73" s="9" t="s">
        <v>32</v>
      </c>
      <c r="E73" s="8" t="s">
        <v>33</v>
      </c>
      <c r="F73" s="6" t="s">
        <v>33</v>
      </c>
      <c r="G73" s="6"/>
      <c r="H73" s="6" t="str">
        <f aca="false">IF(Table2[[#This Row],[Need Mark]]="Y",C73&amp;"-"&amp;D73&amp;"/"&amp;L73,"-")</f>
        <v>-</v>
      </c>
      <c r="I73" s="6" t="str">
        <f aca="false">IF(Table2[[#This Row],[Need Mark]]="Y",L73&amp;"/"&amp;C73&amp;"-"&amp;D73,"-")</f>
        <v>-</v>
      </c>
      <c r="J73" s="6"/>
      <c r="K73" s="6" t="s">
        <v>154</v>
      </c>
      <c r="L73" s="6" t="str">
        <f aca="false">A73&amp;"-"&amp;K73&amp;"-"&amp;Z73&amp;"("&amp;Table2[[#This Row],[Column5]]&amp;")"</f>
        <v>P4-TBSI3-M3(11)</v>
      </c>
      <c r="M73" s="6"/>
      <c r="N73" s="6"/>
      <c r="O73" s="6"/>
      <c r="P73" s="6"/>
      <c r="Q73" s="6"/>
      <c r="R73" s="1" t="s">
        <v>128</v>
      </c>
      <c r="S73" s="1" t="s">
        <v>161</v>
      </c>
      <c r="T73" s="1" t="s">
        <v>162</v>
      </c>
      <c r="U73" s="1" t="n">
        <v>1</v>
      </c>
      <c r="V73" s="1" t="s">
        <v>39</v>
      </c>
      <c r="X73" s="6" t="s">
        <v>40</v>
      </c>
      <c r="Y73" s="6" t="s">
        <v>41</v>
      </c>
      <c r="Z73" s="6" t="str">
        <f aca="false">Z74</f>
        <v>M3</v>
      </c>
      <c r="AA73" s="6" t="n">
        <v>11</v>
      </c>
      <c r="AC73" s="1" t="s">
        <v>42</v>
      </c>
    </row>
    <row r="74" customFormat="false" ht="15" hidden="false" customHeight="true" outlineLevel="0" collapsed="false">
      <c r="A74" s="6" t="s">
        <v>29</v>
      </c>
      <c r="B74" s="7" t="s">
        <v>153</v>
      </c>
      <c r="C74" s="8" t="s">
        <v>153</v>
      </c>
      <c r="D74" s="9" t="n">
        <v>4</v>
      </c>
      <c r="E74" s="8" t="s">
        <v>43</v>
      </c>
      <c r="F74" s="8" t="s">
        <v>55</v>
      </c>
      <c r="G74" s="6" t="s">
        <v>34</v>
      </c>
      <c r="H74" s="6" t="str">
        <f aca="false">IF(Table2[[#This Row],[Need Mark]]="Y",C74&amp;"-"&amp;D74&amp;"/"&amp;L74,"-")</f>
        <v>C4S2-4/P4-TBSI3-M3(14)</v>
      </c>
      <c r="I74" s="6" t="str">
        <f aca="false">IF(Table2[[#This Row],[Need Mark]]="Y",L74&amp;"/"&amp;C74&amp;"-"&amp;D74,"-")</f>
        <v>P4-TBSI3-M3(14)/C4S2-4</v>
      </c>
      <c r="J74" s="6"/>
      <c r="K74" s="6" t="s">
        <v>154</v>
      </c>
      <c r="L74" s="6" t="str">
        <f aca="false">A74&amp;"-"&amp;K74&amp;"-"&amp;Z74&amp;"("&amp;Table2[[#This Row],[Column5]]&amp;")"</f>
        <v>P4-TBSI3-M3(14)</v>
      </c>
      <c r="M74" s="6"/>
      <c r="N74" s="6"/>
      <c r="O74" s="6"/>
      <c r="P74" s="6"/>
      <c r="Q74" s="6"/>
      <c r="R74" s="1" t="s">
        <v>128</v>
      </c>
      <c r="S74" s="1" t="s">
        <v>161</v>
      </c>
      <c r="T74" s="1" t="s">
        <v>162</v>
      </c>
      <c r="U74" s="6" t="n">
        <v>2</v>
      </c>
      <c r="V74" s="1" t="s">
        <v>39</v>
      </c>
      <c r="X74" s="6" t="s">
        <v>40</v>
      </c>
      <c r="Y74" s="6" t="s">
        <v>41</v>
      </c>
      <c r="Z74" s="6" t="s">
        <v>56</v>
      </c>
      <c r="AA74" s="6" t="n">
        <v>14</v>
      </c>
      <c r="AC74" s="1" t="s">
        <v>42</v>
      </c>
    </row>
    <row r="75" customFormat="false" ht="15" hidden="false" customHeight="true" outlineLevel="0" collapsed="false">
      <c r="A75" s="6" t="s">
        <v>29</v>
      </c>
      <c r="B75" s="7" t="s">
        <v>153</v>
      </c>
      <c r="C75" s="8" t="s">
        <v>31</v>
      </c>
      <c r="D75" s="9" t="s">
        <v>32</v>
      </c>
      <c r="E75" s="8" t="s">
        <v>33</v>
      </c>
      <c r="F75" s="6" t="s">
        <v>33</v>
      </c>
      <c r="G75" s="6"/>
      <c r="H75" s="6" t="str">
        <f aca="false">IF(Table2[[#This Row],[Need Mark]]="Y",C75&amp;"-"&amp;D75&amp;"/"&amp;L75,"-")</f>
        <v>-</v>
      </c>
      <c r="I75" s="6" t="str">
        <f aca="false">IF(Table2[[#This Row],[Need Mark]]="Y",L75&amp;"/"&amp;C75&amp;"-"&amp;D75,"-")</f>
        <v>-</v>
      </c>
      <c r="J75" s="6"/>
      <c r="K75" s="6" t="s">
        <v>154</v>
      </c>
      <c r="L75" s="6" t="str">
        <f aca="false">A75&amp;"-"&amp;K75&amp;"-"&amp;Z75&amp;"("&amp;Table2[[#This Row],[Column5]]&amp;")"</f>
        <v>P4-TBSI3-M5(11)</v>
      </c>
      <c r="M75" s="6"/>
      <c r="N75" s="6"/>
      <c r="O75" s="6"/>
      <c r="P75" s="6"/>
      <c r="Q75" s="6"/>
      <c r="R75" s="1" t="s">
        <v>128</v>
      </c>
      <c r="S75" s="1" t="s">
        <v>163</v>
      </c>
      <c r="T75" s="1" t="s">
        <v>164</v>
      </c>
      <c r="U75" s="1" t="n">
        <v>1</v>
      </c>
      <c r="V75" s="1" t="s">
        <v>39</v>
      </c>
      <c r="X75" s="6" t="s">
        <v>40</v>
      </c>
      <c r="Y75" s="6" t="s">
        <v>41</v>
      </c>
      <c r="Z75" s="6" t="str">
        <f aca="false">Z76</f>
        <v>M5</v>
      </c>
      <c r="AA75" s="6" t="n">
        <v>11</v>
      </c>
      <c r="AC75" s="1" t="s">
        <v>42</v>
      </c>
    </row>
    <row r="76" customFormat="false" ht="15" hidden="false" customHeight="true" outlineLevel="0" collapsed="false">
      <c r="A76" s="6" t="s">
        <v>29</v>
      </c>
      <c r="B76" s="7" t="s">
        <v>153</v>
      </c>
      <c r="C76" s="8" t="s">
        <v>153</v>
      </c>
      <c r="D76" s="9" t="n">
        <v>5</v>
      </c>
      <c r="E76" s="8" t="s">
        <v>43</v>
      </c>
      <c r="F76" s="8" t="s">
        <v>59</v>
      </c>
      <c r="G76" s="6" t="s">
        <v>34</v>
      </c>
      <c r="H76" s="6" t="str">
        <f aca="false">IF(Table2[[#This Row],[Need Mark]]="Y",C76&amp;"-"&amp;D76&amp;"/"&amp;L76,"-")</f>
        <v>C4S2-5/P4-TBSI3-M5(14)</v>
      </c>
      <c r="I76" s="6" t="str">
        <f aca="false">IF(Table2[[#This Row],[Need Mark]]="Y",L76&amp;"/"&amp;C76&amp;"-"&amp;D76,"-")</f>
        <v>P4-TBSI3-M5(14)/C4S2-5</v>
      </c>
      <c r="J76" s="6"/>
      <c r="K76" s="6" t="s">
        <v>154</v>
      </c>
      <c r="L76" s="6" t="str">
        <f aca="false">A76&amp;"-"&amp;K76&amp;"-"&amp;Z76&amp;"("&amp;Table2[[#This Row],[Column5]]&amp;")"</f>
        <v>P4-TBSI3-M5(14)</v>
      </c>
      <c r="M76" s="6"/>
      <c r="N76" s="6"/>
      <c r="O76" s="6"/>
      <c r="P76" s="6"/>
      <c r="Q76" s="6"/>
      <c r="R76" s="1" t="s">
        <v>128</v>
      </c>
      <c r="S76" s="1" t="s">
        <v>163</v>
      </c>
      <c r="T76" s="1" t="s">
        <v>164</v>
      </c>
      <c r="U76" s="6" t="n">
        <v>2</v>
      </c>
      <c r="V76" s="1" t="s">
        <v>39</v>
      </c>
      <c r="X76" s="6" t="s">
        <v>40</v>
      </c>
      <c r="Y76" s="6" t="s">
        <v>41</v>
      </c>
      <c r="Z76" s="6" t="s">
        <v>60</v>
      </c>
      <c r="AA76" s="6" t="n">
        <v>14</v>
      </c>
      <c r="AC76" s="1" t="s">
        <v>42</v>
      </c>
    </row>
    <row r="77" customFormat="false" ht="15" hidden="false" customHeight="true" outlineLevel="0" collapsed="false">
      <c r="A77" s="6" t="s">
        <v>29</v>
      </c>
      <c r="B77" s="7" t="s">
        <v>153</v>
      </c>
      <c r="C77" s="8" t="s">
        <v>31</v>
      </c>
      <c r="D77" s="9" t="s">
        <v>32</v>
      </c>
      <c r="E77" s="8" t="s">
        <v>33</v>
      </c>
      <c r="F77" s="6" t="s">
        <v>33</v>
      </c>
      <c r="G77" s="6"/>
      <c r="H77" s="6" t="str">
        <f aca="false">IF(Table2[[#This Row],[Need Mark]]="Y",C77&amp;"-"&amp;D77&amp;"/"&amp;L77,"-")</f>
        <v>-</v>
      </c>
      <c r="I77" s="6" t="str">
        <f aca="false">IF(Table2[[#This Row],[Need Mark]]="Y",L77&amp;"/"&amp;C77&amp;"-"&amp;D77,"-")</f>
        <v>-</v>
      </c>
      <c r="J77" s="6"/>
      <c r="K77" s="6" t="s">
        <v>154</v>
      </c>
      <c r="L77" s="6" t="str">
        <f aca="false">A77&amp;"-"&amp;K77&amp;"-"&amp;Z77&amp;"("&amp;Table2[[#This Row],[Column5]]&amp;")"</f>
        <v>P4-TBSI3-M6(11)</v>
      </c>
      <c r="M77" s="6"/>
      <c r="N77" s="6"/>
      <c r="O77" s="6"/>
      <c r="P77" s="6"/>
      <c r="Q77" s="6"/>
      <c r="R77" s="1" t="s">
        <v>128</v>
      </c>
      <c r="S77" s="1" t="s">
        <v>165</v>
      </c>
      <c r="T77" s="1" t="s">
        <v>166</v>
      </c>
      <c r="U77" s="1" t="n">
        <v>1</v>
      </c>
      <c r="V77" s="1" t="s">
        <v>39</v>
      </c>
      <c r="X77" s="6" t="s">
        <v>40</v>
      </c>
      <c r="Y77" s="6" t="s">
        <v>41</v>
      </c>
      <c r="Z77" s="6" t="str">
        <f aca="false">Z78</f>
        <v>M6</v>
      </c>
      <c r="AA77" s="6" t="n">
        <v>11</v>
      </c>
      <c r="AC77" s="1" t="s">
        <v>42</v>
      </c>
    </row>
    <row r="78" customFormat="false" ht="15" hidden="false" customHeight="true" outlineLevel="0" collapsed="false">
      <c r="A78" s="6" t="s">
        <v>29</v>
      </c>
      <c r="B78" s="7" t="s">
        <v>153</v>
      </c>
      <c r="C78" s="8" t="s">
        <v>153</v>
      </c>
      <c r="D78" s="9" t="n">
        <v>6</v>
      </c>
      <c r="E78" s="8" t="s">
        <v>43</v>
      </c>
      <c r="F78" s="8" t="s">
        <v>63</v>
      </c>
      <c r="G78" s="6" t="s">
        <v>34</v>
      </c>
      <c r="H78" s="6" t="str">
        <f aca="false">IF(Table2[[#This Row],[Need Mark]]="Y",C78&amp;"-"&amp;D78&amp;"/"&amp;L78,"-")</f>
        <v>C4S2-6/P4-TBSI3-M6(14)</v>
      </c>
      <c r="I78" s="6" t="str">
        <f aca="false">IF(Table2[[#This Row],[Need Mark]]="Y",L78&amp;"/"&amp;C78&amp;"-"&amp;D78,"-")</f>
        <v>P4-TBSI3-M6(14)/C4S2-6</v>
      </c>
      <c r="J78" s="6"/>
      <c r="K78" s="6" t="s">
        <v>154</v>
      </c>
      <c r="L78" s="6" t="str">
        <f aca="false">A78&amp;"-"&amp;K78&amp;"-"&amp;Z78&amp;"("&amp;Table2[[#This Row],[Column5]]&amp;")"</f>
        <v>P4-TBSI3-M6(14)</v>
      </c>
      <c r="M78" s="6"/>
      <c r="N78" s="6"/>
      <c r="O78" s="6"/>
      <c r="P78" s="6"/>
      <c r="Q78" s="6"/>
      <c r="R78" s="1" t="s">
        <v>128</v>
      </c>
      <c r="S78" s="1" t="s">
        <v>165</v>
      </c>
      <c r="T78" s="1" t="s">
        <v>166</v>
      </c>
      <c r="U78" s="6" t="n">
        <v>2</v>
      </c>
      <c r="V78" s="1" t="s">
        <v>39</v>
      </c>
      <c r="X78" s="6" t="s">
        <v>40</v>
      </c>
      <c r="Y78" s="6" t="s">
        <v>41</v>
      </c>
      <c r="Z78" s="6" t="s">
        <v>64</v>
      </c>
      <c r="AA78" s="6" t="n">
        <v>14</v>
      </c>
      <c r="AC78" s="1" t="s">
        <v>42</v>
      </c>
    </row>
    <row r="79" customFormat="false" ht="15" hidden="false" customHeight="true" outlineLevel="0" collapsed="false">
      <c r="A79" s="6" t="s">
        <v>29</v>
      </c>
      <c r="B79" s="7" t="s">
        <v>153</v>
      </c>
      <c r="C79" s="8" t="s">
        <v>31</v>
      </c>
      <c r="D79" s="9" t="s">
        <v>32</v>
      </c>
      <c r="E79" s="8" t="s">
        <v>33</v>
      </c>
      <c r="F79" s="6" t="s">
        <v>33</v>
      </c>
      <c r="G79" s="6"/>
      <c r="H79" s="6" t="str">
        <f aca="false">IF(Table2[[#This Row],[Need Mark]]="Y",C79&amp;"-"&amp;D79&amp;"/"&amp;L79,"-")</f>
        <v>-</v>
      </c>
      <c r="I79" s="6" t="str">
        <f aca="false">IF(Table2[[#This Row],[Need Mark]]="Y",L79&amp;"/"&amp;C79&amp;"-"&amp;D79,"-")</f>
        <v>-</v>
      </c>
      <c r="J79" s="6"/>
      <c r="K79" s="6" t="s">
        <v>154</v>
      </c>
      <c r="L79" s="6" t="str">
        <f aca="false">A79&amp;"-"&amp;K79&amp;"-"&amp;Z79&amp;"("&amp;Table2[[#This Row],[Column5]]&amp;")"</f>
        <v>P4-TBSI3-M7(11)</v>
      </c>
      <c r="M79" s="6"/>
      <c r="N79" s="6"/>
      <c r="O79" s="6"/>
      <c r="P79" s="6"/>
      <c r="Q79" s="6"/>
      <c r="R79" s="1" t="s">
        <v>128</v>
      </c>
      <c r="S79" s="1" t="s">
        <v>167</v>
      </c>
      <c r="T79" s="1" t="s">
        <v>168</v>
      </c>
      <c r="U79" s="1" t="n">
        <v>1</v>
      </c>
      <c r="V79" s="1" t="s">
        <v>39</v>
      </c>
      <c r="X79" s="6" t="s">
        <v>40</v>
      </c>
      <c r="Y79" s="6" t="s">
        <v>41</v>
      </c>
      <c r="Z79" s="6" t="str">
        <f aca="false">Z80</f>
        <v>M7</v>
      </c>
      <c r="AA79" s="6" t="n">
        <v>11</v>
      </c>
      <c r="AC79" s="1" t="s">
        <v>42</v>
      </c>
    </row>
    <row r="80" customFormat="false" ht="15" hidden="false" customHeight="true" outlineLevel="0" collapsed="false">
      <c r="A80" s="6" t="s">
        <v>29</v>
      </c>
      <c r="B80" s="7" t="s">
        <v>153</v>
      </c>
      <c r="C80" s="8" t="s">
        <v>153</v>
      </c>
      <c r="D80" s="9" t="n">
        <v>7</v>
      </c>
      <c r="E80" s="8" t="s">
        <v>43</v>
      </c>
      <c r="F80" s="8" t="s">
        <v>67</v>
      </c>
      <c r="G80" s="6" t="s">
        <v>34</v>
      </c>
      <c r="H80" s="6" t="str">
        <f aca="false">IF(Table2[[#This Row],[Need Mark]]="Y",C80&amp;"-"&amp;D80&amp;"/"&amp;L80,"-")</f>
        <v>C4S2-7/P4-TBSI3-M7(14)</v>
      </c>
      <c r="I80" s="6" t="str">
        <f aca="false">IF(Table2[[#This Row],[Need Mark]]="Y",L80&amp;"/"&amp;C80&amp;"-"&amp;D80,"-")</f>
        <v>P4-TBSI3-M7(14)/C4S2-7</v>
      </c>
      <c r="J80" s="6"/>
      <c r="K80" s="6" t="s">
        <v>154</v>
      </c>
      <c r="L80" s="6" t="str">
        <f aca="false">A80&amp;"-"&amp;K80&amp;"-"&amp;Z80&amp;"("&amp;Table2[[#This Row],[Column5]]&amp;")"</f>
        <v>P4-TBSI3-M7(14)</v>
      </c>
      <c r="M80" s="6"/>
      <c r="N80" s="6"/>
      <c r="O80" s="6"/>
      <c r="P80" s="6"/>
      <c r="Q80" s="6"/>
      <c r="R80" s="1" t="s">
        <v>128</v>
      </c>
      <c r="S80" s="1" t="s">
        <v>167</v>
      </c>
      <c r="T80" s="1" t="s">
        <v>168</v>
      </c>
      <c r="U80" s="6" t="n">
        <v>2</v>
      </c>
      <c r="V80" s="1" t="s">
        <v>39</v>
      </c>
      <c r="X80" s="6" t="s">
        <v>40</v>
      </c>
      <c r="Y80" s="6" t="s">
        <v>41</v>
      </c>
      <c r="Z80" s="6" t="s">
        <v>68</v>
      </c>
      <c r="AA80" s="6" t="n">
        <v>14</v>
      </c>
      <c r="AC80" s="1" t="s">
        <v>42</v>
      </c>
    </row>
    <row r="81" customFormat="false" ht="15" hidden="false" customHeight="true" outlineLevel="0" collapsed="false">
      <c r="A81" s="6" t="s">
        <v>29</v>
      </c>
      <c r="B81" s="7" t="s">
        <v>153</v>
      </c>
      <c r="C81" s="8" t="s">
        <v>31</v>
      </c>
      <c r="D81" s="9" t="s">
        <v>32</v>
      </c>
      <c r="E81" s="8" t="s">
        <v>33</v>
      </c>
      <c r="F81" s="6" t="s">
        <v>33</v>
      </c>
      <c r="G81" s="6"/>
      <c r="H81" s="6" t="str">
        <f aca="false">IF(Table2[[#This Row],[Need Mark]]="Y",C81&amp;"-"&amp;D81&amp;"/"&amp;L81,"-")</f>
        <v>-</v>
      </c>
      <c r="I81" s="6" t="str">
        <f aca="false">IF(Table2[[#This Row],[Need Mark]]="Y",L81&amp;"/"&amp;C81&amp;"-"&amp;D81,"-")</f>
        <v>-</v>
      </c>
      <c r="J81" s="6"/>
      <c r="K81" s="6" t="s">
        <v>154</v>
      </c>
      <c r="L81" s="6" t="str">
        <f aca="false">A81&amp;"-"&amp;K81&amp;"-"&amp;Z81&amp;"("&amp;Table2[[#This Row],[Column5]]&amp;")"</f>
        <v>P4-TBSI3-M8(11)</v>
      </c>
      <c r="M81" s="6"/>
      <c r="N81" s="6"/>
      <c r="O81" s="6"/>
      <c r="P81" s="6"/>
      <c r="Q81" s="6"/>
      <c r="R81" s="1" t="s">
        <v>169</v>
      </c>
      <c r="S81" s="1" t="s">
        <v>170</v>
      </c>
      <c r="T81" s="1" t="s">
        <v>171</v>
      </c>
      <c r="U81" s="1" t="n">
        <v>1</v>
      </c>
      <c r="V81" s="1" t="s">
        <v>39</v>
      </c>
      <c r="X81" s="6" t="s">
        <v>40</v>
      </c>
      <c r="Y81" s="6" t="s">
        <v>41</v>
      </c>
      <c r="Z81" s="6" t="str">
        <f aca="false">Z82</f>
        <v>M8</v>
      </c>
      <c r="AA81" s="6" t="n">
        <v>11</v>
      </c>
      <c r="AC81" s="1" t="s">
        <v>42</v>
      </c>
    </row>
    <row r="82" customFormat="false" ht="15" hidden="false" customHeight="true" outlineLevel="0" collapsed="false">
      <c r="A82" s="6" t="s">
        <v>29</v>
      </c>
      <c r="B82" s="7" t="s">
        <v>153</v>
      </c>
      <c r="C82" s="8" t="s">
        <v>153</v>
      </c>
      <c r="D82" s="9" t="n">
        <v>8</v>
      </c>
      <c r="E82" s="8" t="s">
        <v>43</v>
      </c>
      <c r="F82" s="8" t="s">
        <v>71</v>
      </c>
      <c r="G82" s="6" t="s">
        <v>34</v>
      </c>
      <c r="H82" s="6" t="str">
        <f aca="false">IF(Table2[[#This Row],[Need Mark]]="Y",C82&amp;"-"&amp;D82&amp;"/"&amp;L82,"-")</f>
        <v>C4S2-8/P4-TBSI3-M8(14)</v>
      </c>
      <c r="I82" s="6" t="str">
        <f aca="false">IF(Table2[[#This Row],[Need Mark]]="Y",L82&amp;"/"&amp;C82&amp;"-"&amp;D82,"-")</f>
        <v>P4-TBSI3-M8(14)/C4S2-8</v>
      </c>
      <c r="J82" s="6"/>
      <c r="K82" s="6" t="s">
        <v>154</v>
      </c>
      <c r="L82" s="6" t="str">
        <f aca="false">A82&amp;"-"&amp;K82&amp;"-"&amp;Z82&amp;"("&amp;Table2[[#This Row],[Column5]]&amp;")"</f>
        <v>P4-TBSI3-M8(14)</v>
      </c>
      <c r="M82" s="6"/>
      <c r="N82" s="6"/>
      <c r="O82" s="6"/>
      <c r="P82" s="6"/>
      <c r="Q82" s="6"/>
      <c r="R82" s="1" t="s">
        <v>169</v>
      </c>
      <c r="S82" s="1" t="s">
        <v>170</v>
      </c>
      <c r="T82" s="1" t="s">
        <v>171</v>
      </c>
      <c r="U82" s="6" t="n">
        <v>2</v>
      </c>
      <c r="V82" s="1" t="s">
        <v>39</v>
      </c>
      <c r="X82" s="6" t="s">
        <v>40</v>
      </c>
      <c r="Y82" s="6" t="s">
        <v>41</v>
      </c>
      <c r="Z82" s="6" t="s">
        <v>72</v>
      </c>
      <c r="AA82" s="6" t="n">
        <v>14</v>
      </c>
      <c r="AC82" s="1" t="s">
        <v>42</v>
      </c>
    </row>
    <row r="83" customFormat="false" ht="15" hidden="false" customHeight="true" outlineLevel="0" collapsed="false">
      <c r="A83" s="6" t="s">
        <v>29</v>
      </c>
      <c r="B83" s="7" t="s">
        <v>153</v>
      </c>
      <c r="C83" s="8" t="s">
        <v>31</v>
      </c>
      <c r="D83" s="9" t="s">
        <v>32</v>
      </c>
      <c r="E83" s="8" t="s">
        <v>33</v>
      </c>
      <c r="F83" s="6" t="s">
        <v>33</v>
      </c>
      <c r="G83" s="6"/>
      <c r="H83" s="6" t="str">
        <f aca="false">IF(Table2[[#This Row],[Need Mark]]="Y",C83&amp;"-"&amp;D83&amp;"/"&amp;L83,"-")</f>
        <v>-</v>
      </c>
      <c r="I83" s="6" t="str">
        <f aca="false">IF(Table2[[#This Row],[Need Mark]]="Y",L83&amp;"/"&amp;C83&amp;"-"&amp;D83,"-")</f>
        <v>-</v>
      </c>
      <c r="J83" s="6"/>
      <c r="K83" s="6" t="s">
        <v>154</v>
      </c>
      <c r="L83" s="6" t="str">
        <f aca="false">A83&amp;"-"&amp;K83&amp;"-"&amp;Z83&amp;"("&amp;Table2[[#This Row],[Column5]]&amp;")"</f>
        <v>P4-TBSI3-M9(11)</v>
      </c>
      <c r="M83" s="6"/>
      <c r="N83" s="6"/>
      <c r="O83" s="6"/>
      <c r="P83" s="6"/>
      <c r="Q83" s="6"/>
      <c r="R83" s="1" t="s">
        <v>169</v>
      </c>
      <c r="S83" s="1" t="s">
        <v>172</v>
      </c>
      <c r="T83" s="1" t="s">
        <v>173</v>
      </c>
      <c r="U83" s="1" t="n">
        <v>1</v>
      </c>
      <c r="V83" s="1" t="s">
        <v>39</v>
      </c>
      <c r="X83" s="6" t="s">
        <v>40</v>
      </c>
      <c r="Y83" s="6" t="s">
        <v>41</v>
      </c>
      <c r="Z83" s="6" t="str">
        <f aca="false">Z84</f>
        <v>M9</v>
      </c>
      <c r="AA83" s="6" t="n">
        <v>11</v>
      </c>
      <c r="AC83" s="1" t="s">
        <v>42</v>
      </c>
    </row>
    <row r="84" customFormat="false" ht="15" hidden="false" customHeight="true" outlineLevel="0" collapsed="false">
      <c r="A84" s="6" t="s">
        <v>29</v>
      </c>
      <c r="B84" s="7" t="s">
        <v>153</v>
      </c>
      <c r="C84" s="8" t="s">
        <v>153</v>
      </c>
      <c r="D84" s="9" t="n">
        <v>9</v>
      </c>
      <c r="E84" s="8" t="s">
        <v>43</v>
      </c>
      <c r="F84" s="8" t="s">
        <v>75</v>
      </c>
      <c r="G84" s="6" t="s">
        <v>34</v>
      </c>
      <c r="H84" s="6" t="str">
        <f aca="false">IF(Table2[[#This Row],[Need Mark]]="Y",C84&amp;"-"&amp;D84&amp;"/"&amp;L84,"-")</f>
        <v>C4S2-9/P4-TBSI3-M9(14)</v>
      </c>
      <c r="I84" s="6" t="str">
        <f aca="false">IF(Table2[[#This Row],[Need Mark]]="Y",L84&amp;"/"&amp;C84&amp;"-"&amp;D84,"-")</f>
        <v>P4-TBSI3-M9(14)/C4S2-9</v>
      </c>
      <c r="J84" s="6"/>
      <c r="K84" s="6" t="s">
        <v>154</v>
      </c>
      <c r="L84" s="6" t="str">
        <f aca="false">A84&amp;"-"&amp;K84&amp;"-"&amp;Z84&amp;"("&amp;Table2[[#This Row],[Column5]]&amp;")"</f>
        <v>P4-TBSI3-M9(14)</v>
      </c>
      <c r="M84" s="6"/>
      <c r="N84" s="6"/>
      <c r="O84" s="6"/>
      <c r="P84" s="6"/>
      <c r="Q84" s="6"/>
      <c r="R84" s="1" t="s">
        <v>169</v>
      </c>
      <c r="S84" s="1" t="s">
        <v>172</v>
      </c>
      <c r="T84" s="1" t="s">
        <v>173</v>
      </c>
      <c r="U84" s="6" t="n">
        <v>2</v>
      </c>
      <c r="V84" s="1" t="s">
        <v>39</v>
      </c>
      <c r="X84" s="6" t="s">
        <v>40</v>
      </c>
      <c r="Y84" s="6" t="s">
        <v>41</v>
      </c>
      <c r="Z84" s="6" t="s">
        <v>76</v>
      </c>
      <c r="AA84" s="6" t="n">
        <v>14</v>
      </c>
      <c r="AC84" s="1" t="s">
        <v>42</v>
      </c>
    </row>
    <row r="85" customFormat="false" ht="15" hidden="false" customHeight="true" outlineLevel="0" collapsed="false">
      <c r="A85" s="6" t="s">
        <v>29</v>
      </c>
      <c r="B85" s="7" t="s">
        <v>153</v>
      </c>
      <c r="C85" s="8" t="s">
        <v>31</v>
      </c>
      <c r="D85" s="9" t="s">
        <v>32</v>
      </c>
      <c r="E85" s="8" t="s">
        <v>33</v>
      </c>
      <c r="F85" s="6" t="s">
        <v>33</v>
      </c>
      <c r="G85" s="6"/>
      <c r="H85" s="6" t="str">
        <f aca="false">IF(Table2[[#This Row],[Need Mark]]="Y",C85&amp;"-"&amp;D85&amp;"/"&amp;L85,"-")</f>
        <v>-</v>
      </c>
      <c r="I85" s="6" t="str">
        <f aca="false">IF(Table2[[#This Row],[Need Mark]]="Y",L85&amp;"/"&amp;C85&amp;"-"&amp;D85,"-")</f>
        <v>-</v>
      </c>
      <c r="J85" s="6"/>
      <c r="K85" s="6" t="s">
        <v>154</v>
      </c>
      <c r="L85" s="6" t="str">
        <f aca="false">A85&amp;"-"&amp;K85&amp;"-"&amp;Z85&amp;"("&amp;Table2[[#This Row],[Column5]]&amp;")"</f>
        <v>P4-TBSI3-M10(11)</v>
      </c>
      <c r="M85" s="6"/>
      <c r="N85" s="6"/>
      <c r="O85" s="6"/>
      <c r="P85" s="6"/>
      <c r="Q85" s="6"/>
      <c r="R85" s="1" t="s">
        <v>169</v>
      </c>
      <c r="S85" s="1" t="s">
        <v>174</v>
      </c>
      <c r="T85" s="1" t="s">
        <v>175</v>
      </c>
      <c r="U85" s="1" t="n">
        <v>1</v>
      </c>
      <c r="V85" s="1" t="s">
        <v>39</v>
      </c>
      <c r="X85" s="6" t="s">
        <v>40</v>
      </c>
      <c r="Y85" s="6" t="s">
        <v>41</v>
      </c>
      <c r="Z85" s="6" t="str">
        <f aca="false">Z86</f>
        <v>M10</v>
      </c>
      <c r="AA85" s="6" t="n">
        <v>11</v>
      </c>
      <c r="AC85" s="1" t="s">
        <v>42</v>
      </c>
    </row>
    <row r="86" customFormat="false" ht="15" hidden="false" customHeight="true" outlineLevel="0" collapsed="false">
      <c r="A86" s="6" t="s">
        <v>29</v>
      </c>
      <c r="B86" s="7" t="s">
        <v>153</v>
      </c>
      <c r="C86" s="8" t="s">
        <v>153</v>
      </c>
      <c r="D86" s="9" t="n">
        <v>10</v>
      </c>
      <c r="E86" s="8" t="s">
        <v>43</v>
      </c>
      <c r="F86" s="8" t="s">
        <v>79</v>
      </c>
      <c r="G86" s="6" t="s">
        <v>34</v>
      </c>
      <c r="H86" s="6" t="str">
        <f aca="false">IF(Table2[[#This Row],[Need Mark]]="Y",C86&amp;"-"&amp;D86&amp;"/"&amp;L86,"-")</f>
        <v>C4S2-10/P4-TBSI3-M10(14)</v>
      </c>
      <c r="I86" s="6" t="str">
        <f aca="false">IF(Table2[[#This Row],[Need Mark]]="Y",L86&amp;"/"&amp;C86&amp;"-"&amp;D86,"-")</f>
        <v>P4-TBSI3-M10(14)/C4S2-10</v>
      </c>
      <c r="J86" s="6"/>
      <c r="K86" s="6" t="s">
        <v>154</v>
      </c>
      <c r="L86" s="6" t="str">
        <f aca="false">A86&amp;"-"&amp;K86&amp;"-"&amp;Z86&amp;"("&amp;Table2[[#This Row],[Column5]]&amp;")"</f>
        <v>P4-TBSI3-M10(14)</v>
      </c>
      <c r="M86" s="6"/>
      <c r="N86" s="6"/>
      <c r="O86" s="6"/>
      <c r="P86" s="6"/>
      <c r="Q86" s="6"/>
      <c r="R86" s="1" t="s">
        <v>169</v>
      </c>
      <c r="S86" s="1" t="s">
        <v>174</v>
      </c>
      <c r="T86" s="1" t="s">
        <v>175</v>
      </c>
      <c r="U86" s="6" t="n">
        <v>2</v>
      </c>
      <c r="V86" s="1" t="s">
        <v>39</v>
      </c>
      <c r="X86" s="6" t="s">
        <v>40</v>
      </c>
      <c r="Y86" s="6" t="s">
        <v>41</v>
      </c>
      <c r="Z86" s="6" t="s">
        <v>80</v>
      </c>
      <c r="AA86" s="6" t="n">
        <v>14</v>
      </c>
      <c r="AC86" s="1" t="s">
        <v>42</v>
      </c>
    </row>
    <row r="87" customFormat="false" ht="15" hidden="false" customHeight="true" outlineLevel="0" collapsed="false">
      <c r="A87" s="6" t="s">
        <v>29</v>
      </c>
      <c r="B87" s="7" t="s">
        <v>153</v>
      </c>
      <c r="C87" s="8" t="s">
        <v>31</v>
      </c>
      <c r="D87" s="9" t="s">
        <v>32</v>
      </c>
      <c r="E87" s="8" t="s">
        <v>33</v>
      </c>
      <c r="F87" s="6" t="s">
        <v>33</v>
      </c>
      <c r="G87" s="6"/>
      <c r="H87" s="6" t="str">
        <f aca="false">IF(Table2[[#This Row],[Need Mark]]="Y",C87&amp;"-"&amp;D87&amp;"/"&amp;L87,"-")</f>
        <v>-</v>
      </c>
      <c r="I87" s="6" t="str">
        <f aca="false">IF(Table2[[#This Row],[Need Mark]]="Y",L87&amp;"/"&amp;C87&amp;"-"&amp;D87,"-")</f>
        <v>-</v>
      </c>
      <c r="J87" s="6"/>
      <c r="K87" s="6" t="s">
        <v>154</v>
      </c>
      <c r="L87" s="6" t="str">
        <f aca="false">A87&amp;"-"&amp;K87&amp;"-"&amp;Z87&amp;"("&amp;Table2[[#This Row],[Column5]]&amp;")"</f>
        <v>P4-TBSI3-M11(11)</v>
      </c>
      <c r="M87" s="6"/>
      <c r="N87" s="6"/>
      <c r="O87" s="6"/>
      <c r="P87" s="6"/>
      <c r="Q87" s="6"/>
      <c r="R87" s="1" t="s">
        <v>169</v>
      </c>
      <c r="S87" s="1" t="s">
        <v>176</v>
      </c>
      <c r="T87" s="1" t="s">
        <v>177</v>
      </c>
      <c r="U87" s="1" t="n">
        <v>1</v>
      </c>
      <c r="V87" s="1" t="s">
        <v>39</v>
      </c>
      <c r="X87" s="6" t="s">
        <v>40</v>
      </c>
      <c r="Y87" s="6" t="s">
        <v>41</v>
      </c>
      <c r="Z87" s="6" t="str">
        <f aca="false">Z88</f>
        <v>M11</v>
      </c>
      <c r="AA87" s="6" t="n">
        <v>11</v>
      </c>
      <c r="AC87" s="1" t="s">
        <v>42</v>
      </c>
    </row>
    <row r="88" customFormat="false" ht="15" hidden="false" customHeight="true" outlineLevel="0" collapsed="false">
      <c r="A88" s="6" t="s">
        <v>29</v>
      </c>
      <c r="B88" s="7" t="s">
        <v>153</v>
      </c>
      <c r="C88" s="8" t="s">
        <v>153</v>
      </c>
      <c r="D88" s="9" t="n">
        <v>11</v>
      </c>
      <c r="E88" s="8" t="s">
        <v>43</v>
      </c>
      <c r="F88" s="8" t="s">
        <v>83</v>
      </c>
      <c r="G88" s="6" t="s">
        <v>34</v>
      </c>
      <c r="H88" s="6" t="str">
        <f aca="false">IF(Table2[[#This Row],[Need Mark]]="Y",C88&amp;"-"&amp;D88&amp;"/"&amp;L88,"-")</f>
        <v>C4S2-11/P4-TBSI3-M11(14)</v>
      </c>
      <c r="I88" s="6" t="str">
        <f aca="false">IF(Table2[[#This Row],[Need Mark]]="Y",L88&amp;"/"&amp;C88&amp;"-"&amp;D88,"-")</f>
        <v>P4-TBSI3-M11(14)/C4S2-11</v>
      </c>
      <c r="J88" s="6"/>
      <c r="K88" s="6" t="s">
        <v>154</v>
      </c>
      <c r="L88" s="6" t="str">
        <f aca="false">A88&amp;"-"&amp;K88&amp;"-"&amp;Z88&amp;"("&amp;Table2[[#This Row],[Column5]]&amp;")"</f>
        <v>P4-TBSI3-M11(14)</v>
      </c>
      <c r="M88" s="6"/>
      <c r="N88" s="6"/>
      <c r="O88" s="6"/>
      <c r="P88" s="6"/>
      <c r="Q88" s="6"/>
      <c r="R88" s="1" t="s">
        <v>169</v>
      </c>
      <c r="S88" s="1" t="s">
        <v>176</v>
      </c>
      <c r="T88" s="1" t="s">
        <v>177</v>
      </c>
      <c r="U88" s="6" t="n">
        <v>2</v>
      </c>
      <c r="V88" s="1" t="s">
        <v>39</v>
      </c>
      <c r="X88" s="6" t="s">
        <v>40</v>
      </c>
      <c r="Y88" s="6" t="s">
        <v>41</v>
      </c>
      <c r="Z88" s="6" t="s">
        <v>84</v>
      </c>
      <c r="AA88" s="6" t="n">
        <v>14</v>
      </c>
      <c r="AC88" s="1" t="s">
        <v>42</v>
      </c>
    </row>
    <row r="89" customFormat="false" ht="15" hidden="false" customHeight="true" outlineLevel="0" collapsed="false">
      <c r="A89" s="6" t="s">
        <v>29</v>
      </c>
      <c r="B89" s="7" t="s">
        <v>153</v>
      </c>
      <c r="C89" s="8" t="s">
        <v>31</v>
      </c>
      <c r="D89" s="9" t="s">
        <v>32</v>
      </c>
      <c r="E89" s="8" t="s">
        <v>33</v>
      </c>
      <c r="F89" s="6" t="s">
        <v>33</v>
      </c>
      <c r="G89" s="6"/>
      <c r="H89" s="6" t="str">
        <f aca="false">IF(Table2[[#This Row],[Need Mark]]="Y",C89&amp;"-"&amp;D89&amp;"/"&amp;L89,"-")</f>
        <v>-</v>
      </c>
      <c r="I89" s="6" t="str">
        <f aca="false">IF(Table2[[#This Row],[Need Mark]]="Y",L89&amp;"/"&amp;C89&amp;"-"&amp;D89,"-")</f>
        <v>-</v>
      </c>
      <c r="J89" s="6"/>
      <c r="K89" s="6" t="s">
        <v>154</v>
      </c>
      <c r="L89" s="6" t="str">
        <f aca="false">A89&amp;"-"&amp;K89&amp;"-"&amp;Z89&amp;"("&amp;Table2[[#This Row],[Column5]]&amp;")"</f>
        <v>P4-TBSI3-M12(11)</v>
      </c>
      <c r="M89" s="6"/>
      <c r="N89" s="6"/>
      <c r="O89" s="6"/>
      <c r="P89" s="6"/>
      <c r="Q89" s="6"/>
      <c r="R89" s="1" t="s">
        <v>169</v>
      </c>
      <c r="S89" s="1" t="s">
        <v>178</v>
      </c>
      <c r="T89" s="1" t="s">
        <v>179</v>
      </c>
      <c r="U89" s="1" t="n">
        <v>1</v>
      </c>
      <c r="V89" s="1" t="s">
        <v>39</v>
      </c>
      <c r="X89" s="6" t="s">
        <v>40</v>
      </c>
      <c r="Y89" s="6" t="s">
        <v>41</v>
      </c>
      <c r="Z89" s="6" t="str">
        <f aca="false">Z90</f>
        <v>M12</v>
      </c>
      <c r="AA89" s="6" t="n">
        <v>11</v>
      </c>
      <c r="AC89" s="1" t="s">
        <v>42</v>
      </c>
    </row>
    <row r="90" customFormat="false" ht="15" hidden="false" customHeight="true" outlineLevel="0" collapsed="false">
      <c r="A90" s="6" t="s">
        <v>29</v>
      </c>
      <c r="B90" s="7" t="s">
        <v>153</v>
      </c>
      <c r="C90" s="8" t="s">
        <v>153</v>
      </c>
      <c r="D90" s="9" t="n">
        <v>12</v>
      </c>
      <c r="E90" s="8" t="s">
        <v>43</v>
      </c>
      <c r="F90" s="8" t="s">
        <v>87</v>
      </c>
      <c r="G90" s="6" t="s">
        <v>34</v>
      </c>
      <c r="H90" s="6" t="str">
        <f aca="false">IF(Table2[[#This Row],[Need Mark]]="Y",C90&amp;"-"&amp;D90&amp;"/"&amp;L90,"-")</f>
        <v>C4S2-12/P4-TBSI3-M12(14)</v>
      </c>
      <c r="I90" s="6" t="str">
        <f aca="false">IF(Table2[[#This Row],[Need Mark]]="Y",L90&amp;"/"&amp;C90&amp;"-"&amp;D90,"-")</f>
        <v>P4-TBSI3-M12(14)/C4S2-12</v>
      </c>
      <c r="J90" s="6"/>
      <c r="K90" s="6" t="s">
        <v>154</v>
      </c>
      <c r="L90" s="6" t="str">
        <f aca="false">A90&amp;"-"&amp;K90&amp;"-"&amp;Z90&amp;"("&amp;Table2[[#This Row],[Column5]]&amp;")"</f>
        <v>P4-TBSI3-M12(14)</v>
      </c>
      <c r="M90" s="6"/>
      <c r="N90" s="6"/>
      <c r="O90" s="6"/>
      <c r="P90" s="6"/>
      <c r="Q90" s="6"/>
      <c r="R90" s="1" t="s">
        <v>169</v>
      </c>
      <c r="S90" s="1" t="s">
        <v>178</v>
      </c>
      <c r="T90" s="1" t="s">
        <v>179</v>
      </c>
      <c r="U90" s="6" t="n">
        <v>2</v>
      </c>
      <c r="V90" s="1" t="s">
        <v>39</v>
      </c>
      <c r="X90" s="6" t="s">
        <v>40</v>
      </c>
      <c r="Y90" s="6" t="s">
        <v>41</v>
      </c>
      <c r="Z90" s="6" t="s">
        <v>88</v>
      </c>
      <c r="AA90" s="6" t="n">
        <v>14</v>
      </c>
      <c r="AC90" s="1" t="s">
        <v>42</v>
      </c>
    </row>
    <row r="91" customFormat="false" ht="15" hidden="false" customHeight="true" outlineLevel="0" collapsed="false">
      <c r="A91" s="6" t="s">
        <v>29</v>
      </c>
      <c r="B91" s="7" t="s">
        <v>153</v>
      </c>
      <c r="C91" s="8" t="s">
        <v>31</v>
      </c>
      <c r="D91" s="9" t="s">
        <v>32</v>
      </c>
      <c r="E91" s="8" t="s">
        <v>33</v>
      </c>
      <c r="F91" s="6" t="s">
        <v>33</v>
      </c>
      <c r="G91" s="6"/>
      <c r="H91" s="6" t="str">
        <f aca="false">IF(Table2[[#This Row],[Need Mark]]="Y",C91&amp;"-"&amp;D91&amp;"/"&amp;L91,"-")</f>
        <v>-</v>
      </c>
      <c r="I91" s="6" t="str">
        <f aca="false">IF(Table2[[#This Row],[Need Mark]]="Y",L91&amp;"/"&amp;C91&amp;"-"&amp;D91,"-")</f>
        <v>-</v>
      </c>
      <c r="J91" s="6"/>
      <c r="K91" s="6" t="s">
        <v>154</v>
      </c>
      <c r="L91" s="6" t="str">
        <f aca="false">A91&amp;"-"&amp;K91&amp;"-"&amp;Z91&amp;"("&amp;Table2[[#This Row],[Column5]]&amp;")"</f>
        <v>P4-TBSI3-M13(11)</v>
      </c>
      <c r="M91" s="6"/>
      <c r="N91" s="6"/>
      <c r="O91" s="6"/>
      <c r="P91" s="6"/>
      <c r="Q91" s="6"/>
      <c r="R91" s="1" t="s">
        <v>169</v>
      </c>
      <c r="S91" s="1" t="s">
        <v>180</v>
      </c>
      <c r="T91" s="1" t="s">
        <v>181</v>
      </c>
      <c r="U91" s="1" t="n">
        <v>1</v>
      </c>
      <c r="V91" s="1" t="s">
        <v>39</v>
      </c>
      <c r="X91" s="6" t="s">
        <v>40</v>
      </c>
      <c r="Y91" s="6" t="s">
        <v>41</v>
      </c>
      <c r="Z91" s="6" t="str">
        <f aca="false">Z92</f>
        <v>M13</v>
      </c>
      <c r="AA91" s="6" t="n">
        <v>11</v>
      </c>
      <c r="AC91" s="1" t="s">
        <v>42</v>
      </c>
    </row>
    <row r="92" customFormat="false" ht="15" hidden="false" customHeight="true" outlineLevel="0" collapsed="false">
      <c r="A92" s="6" t="s">
        <v>29</v>
      </c>
      <c r="B92" s="7" t="s">
        <v>153</v>
      </c>
      <c r="C92" s="8" t="s">
        <v>153</v>
      </c>
      <c r="D92" s="9" t="n">
        <v>13</v>
      </c>
      <c r="E92" s="8" t="s">
        <v>43</v>
      </c>
      <c r="F92" s="8" t="s">
        <v>91</v>
      </c>
      <c r="G92" s="6" t="s">
        <v>34</v>
      </c>
      <c r="H92" s="6" t="str">
        <f aca="false">IF(Table2[[#This Row],[Need Mark]]="Y",C92&amp;"-"&amp;D92&amp;"/"&amp;L92,"-")</f>
        <v>C4S2-13/P4-TBSI3-M13(14)</v>
      </c>
      <c r="I92" s="6" t="str">
        <f aca="false">IF(Table2[[#This Row],[Need Mark]]="Y",L92&amp;"/"&amp;C92&amp;"-"&amp;D92,"-")</f>
        <v>P4-TBSI3-M13(14)/C4S2-13</v>
      </c>
      <c r="J92" s="6"/>
      <c r="K92" s="6" t="s">
        <v>154</v>
      </c>
      <c r="L92" s="6" t="str">
        <f aca="false">A92&amp;"-"&amp;K92&amp;"-"&amp;Z92&amp;"("&amp;Table2[[#This Row],[Column5]]&amp;")"</f>
        <v>P4-TBSI3-M13(14)</v>
      </c>
      <c r="M92" s="6"/>
      <c r="N92" s="6"/>
      <c r="O92" s="6"/>
      <c r="P92" s="6"/>
      <c r="Q92" s="6"/>
      <c r="R92" s="1" t="s">
        <v>169</v>
      </c>
      <c r="S92" s="1" t="s">
        <v>180</v>
      </c>
      <c r="T92" s="1" t="s">
        <v>181</v>
      </c>
      <c r="U92" s="6" t="n">
        <v>2</v>
      </c>
      <c r="V92" s="1" t="s">
        <v>39</v>
      </c>
      <c r="X92" s="6" t="s">
        <v>40</v>
      </c>
      <c r="Y92" s="6" t="s">
        <v>41</v>
      </c>
      <c r="Z92" s="6" t="s">
        <v>92</v>
      </c>
      <c r="AA92" s="6" t="n">
        <v>14</v>
      </c>
      <c r="AC92" s="1" t="s">
        <v>42</v>
      </c>
    </row>
    <row r="93" customFormat="false" ht="15" hidden="false" customHeight="true" outlineLevel="0" collapsed="false">
      <c r="A93" s="6" t="s">
        <v>29</v>
      </c>
      <c r="B93" s="7" t="s">
        <v>153</v>
      </c>
      <c r="C93" s="8" t="s">
        <v>31</v>
      </c>
      <c r="D93" s="9" t="s">
        <v>32</v>
      </c>
      <c r="E93" s="8" t="s">
        <v>33</v>
      </c>
      <c r="F93" s="6" t="s">
        <v>33</v>
      </c>
      <c r="G93" s="6"/>
      <c r="H93" s="6" t="str">
        <f aca="false">IF(Table2[[#This Row],[Need Mark]]="Y",C93&amp;"-"&amp;D93&amp;"/"&amp;L93,"-")</f>
        <v>-</v>
      </c>
      <c r="I93" s="6" t="str">
        <f aca="false">IF(Table2[[#This Row],[Need Mark]]="Y",L93&amp;"/"&amp;C93&amp;"-"&amp;D93,"-")</f>
        <v>-</v>
      </c>
      <c r="J93" s="6"/>
      <c r="K93" s="6" t="s">
        <v>154</v>
      </c>
      <c r="L93" s="6" t="str">
        <f aca="false">A93&amp;"-"&amp;K93&amp;"-"&amp;Z93&amp;"("&amp;Table2[[#This Row],[Column5]]&amp;")"</f>
        <v>P4-TBSI3-M14(11)</v>
      </c>
      <c r="M93" s="6"/>
      <c r="N93" s="6"/>
      <c r="O93" s="6"/>
      <c r="P93" s="6"/>
      <c r="Q93" s="6"/>
      <c r="R93" s="1" t="s">
        <v>169</v>
      </c>
      <c r="S93" s="1" t="s">
        <v>182</v>
      </c>
      <c r="T93" s="1" t="s">
        <v>183</v>
      </c>
      <c r="U93" s="1" t="n">
        <v>1</v>
      </c>
      <c r="V93" s="1" t="s">
        <v>39</v>
      </c>
      <c r="X93" s="6" t="s">
        <v>40</v>
      </c>
      <c r="Y93" s="6" t="s">
        <v>41</v>
      </c>
      <c r="Z93" s="6" t="str">
        <f aca="false">Z94</f>
        <v>M14</v>
      </c>
      <c r="AA93" s="6" t="n">
        <v>11</v>
      </c>
      <c r="AC93" s="1" t="s">
        <v>42</v>
      </c>
    </row>
    <row r="94" customFormat="false" ht="15" hidden="false" customHeight="true" outlineLevel="0" collapsed="false">
      <c r="A94" s="6" t="s">
        <v>29</v>
      </c>
      <c r="B94" s="7" t="s">
        <v>153</v>
      </c>
      <c r="C94" s="8" t="s">
        <v>153</v>
      </c>
      <c r="D94" s="9" t="n">
        <v>14</v>
      </c>
      <c r="E94" s="8" t="s">
        <v>43</v>
      </c>
      <c r="F94" s="8" t="s">
        <v>95</v>
      </c>
      <c r="G94" s="6" t="s">
        <v>34</v>
      </c>
      <c r="H94" s="6" t="str">
        <f aca="false">IF(Table2[[#This Row],[Need Mark]]="Y",C94&amp;"-"&amp;D94&amp;"/"&amp;L94,"-")</f>
        <v>C4S2-14/P4-TBSI3-M14(14)</v>
      </c>
      <c r="I94" s="6" t="str">
        <f aca="false">IF(Table2[[#This Row],[Need Mark]]="Y",L94&amp;"/"&amp;C94&amp;"-"&amp;D94,"-")</f>
        <v>P4-TBSI3-M14(14)/C4S2-14</v>
      </c>
      <c r="J94" s="6"/>
      <c r="K94" s="6" t="s">
        <v>154</v>
      </c>
      <c r="L94" s="6" t="str">
        <f aca="false">A94&amp;"-"&amp;K94&amp;"-"&amp;Z94&amp;"("&amp;Table2[[#This Row],[Column5]]&amp;")"</f>
        <v>P4-TBSI3-M14(14)</v>
      </c>
      <c r="M94" s="6"/>
      <c r="N94" s="6"/>
      <c r="O94" s="6"/>
      <c r="P94" s="6"/>
      <c r="Q94" s="6"/>
      <c r="R94" s="1" t="s">
        <v>169</v>
      </c>
      <c r="S94" s="1" t="s">
        <v>182</v>
      </c>
      <c r="T94" s="1" t="s">
        <v>183</v>
      </c>
      <c r="U94" s="6" t="n">
        <v>2</v>
      </c>
      <c r="V94" s="1" t="s">
        <v>39</v>
      </c>
      <c r="X94" s="6" t="s">
        <v>40</v>
      </c>
      <c r="Y94" s="6" t="s">
        <v>41</v>
      </c>
      <c r="Z94" s="6" t="s">
        <v>96</v>
      </c>
      <c r="AA94" s="6" t="n">
        <v>14</v>
      </c>
      <c r="AC94" s="1" t="s">
        <v>42</v>
      </c>
    </row>
    <row r="95" customFormat="false" ht="15" hidden="false" customHeight="true" outlineLevel="0" collapsed="false">
      <c r="A95" s="6" t="s">
        <v>29</v>
      </c>
      <c r="B95" s="7" t="s">
        <v>153</v>
      </c>
      <c r="C95" s="8" t="s">
        <v>31</v>
      </c>
      <c r="D95" s="9" t="s">
        <v>32</v>
      </c>
      <c r="E95" s="8" t="s">
        <v>33</v>
      </c>
      <c r="F95" s="6" t="s">
        <v>33</v>
      </c>
      <c r="G95" s="6"/>
      <c r="H95" s="6" t="str">
        <f aca="false">IF(Table2[[#This Row],[Need Mark]]="Y",C95&amp;"-"&amp;D95&amp;"/"&amp;L95,"-")</f>
        <v>-</v>
      </c>
      <c r="I95" s="6" t="str">
        <f aca="false">IF(Table2[[#This Row],[Need Mark]]="Y",L95&amp;"/"&amp;C95&amp;"-"&amp;D95,"-")</f>
        <v>-</v>
      </c>
      <c r="J95" s="6"/>
      <c r="K95" s="6" t="s">
        <v>154</v>
      </c>
      <c r="L95" s="6" t="str">
        <f aca="false">A95&amp;"-"&amp;K95&amp;"-"&amp;Z95&amp;"("&amp;Table2[[#This Row],[Column5]]&amp;")"</f>
        <v>P4-TBSI3-M15(11)</v>
      </c>
      <c r="M95" s="6"/>
      <c r="N95" s="6"/>
      <c r="O95" s="6"/>
      <c r="P95" s="6"/>
      <c r="Q95" s="6"/>
      <c r="R95" s="1" t="s">
        <v>169</v>
      </c>
      <c r="S95" s="1" t="s">
        <v>184</v>
      </c>
      <c r="T95" s="1" t="s">
        <v>185</v>
      </c>
      <c r="U95" s="1" t="n">
        <v>1</v>
      </c>
      <c r="V95" s="1" t="s">
        <v>39</v>
      </c>
      <c r="X95" s="6" t="s">
        <v>40</v>
      </c>
      <c r="Y95" s="6" t="s">
        <v>41</v>
      </c>
      <c r="Z95" s="6" t="str">
        <f aca="false">Z96</f>
        <v>M15</v>
      </c>
      <c r="AA95" s="6" t="n">
        <v>11</v>
      </c>
      <c r="AC95" s="1" t="s">
        <v>42</v>
      </c>
    </row>
    <row r="96" customFormat="false" ht="15" hidden="false" customHeight="true" outlineLevel="0" collapsed="false">
      <c r="A96" s="6" t="s">
        <v>29</v>
      </c>
      <c r="B96" s="7" t="s">
        <v>153</v>
      </c>
      <c r="C96" s="8" t="s">
        <v>153</v>
      </c>
      <c r="D96" s="9" t="n">
        <v>15</v>
      </c>
      <c r="E96" s="8" t="s">
        <v>43</v>
      </c>
      <c r="F96" s="8" t="s">
        <v>99</v>
      </c>
      <c r="G96" s="6" t="s">
        <v>34</v>
      </c>
      <c r="H96" s="6" t="str">
        <f aca="false">IF(Table2[[#This Row],[Need Mark]]="Y",C96&amp;"-"&amp;D96&amp;"/"&amp;L96,"-")</f>
        <v>C4S2-15/P4-TBSI3-M15(14)</v>
      </c>
      <c r="I96" s="6" t="str">
        <f aca="false">IF(Table2[[#This Row],[Need Mark]]="Y",L96&amp;"/"&amp;C96&amp;"-"&amp;D96,"-")</f>
        <v>P4-TBSI3-M15(14)/C4S2-15</v>
      </c>
      <c r="J96" s="6"/>
      <c r="K96" s="6" t="s">
        <v>154</v>
      </c>
      <c r="L96" s="6" t="str">
        <f aca="false">A96&amp;"-"&amp;K96&amp;"-"&amp;Z96&amp;"("&amp;Table2[[#This Row],[Column5]]&amp;")"</f>
        <v>P4-TBSI3-M15(14)</v>
      </c>
      <c r="M96" s="6"/>
      <c r="N96" s="6"/>
      <c r="O96" s="6"/>
      <c r="P96" s="6"/>
      <c r="Q96" s="6"/>
      <c r="R96" s="1" t="s">
        <v>169</v>
      </c>
      <c r="S96" s="1" t="s">
        <v>184</v>
      </c>
      <c r="T96" s="1" t="s">
        <v>185</v>
      </c>
      <c r="U96" s="6" t="n">
        <v>2</v>
      </c>
      <c r="V96" s="1" t="s">
        <v>39</v>
      </c>
      <c r="X96" s="6" t="s">
        <v>40</v>
      </c>
      <c r="Y96" s="6" t="s">
        <v>41</v>
      </c>
      <c r="Z96" s="6" t="s">
        <v>100</v>
      </c>
      <c r="AA96" s="6" t="n">
        <v>14</v>
      </c>
      <c r="AC96" s="1" t="s">
        <v>42</v>
      </c>
    </row>
    <row r="97" customFormat="false" ht="15" hidden="false" customHeight="true" outlineLevel="0" collapsed="false">
      <c r="A97" s="6" t="s">
        <v>29</v>
      </c>
      <c r="B97" s="7" t="s">
        <v>153</v>
      </c>
      <c r="C97" s="8" t="s">
        <v>31</v>
      </c>
      <c r="D97" s="9" t="s">
        <v>32</v>
      </c>
      <c r="E97" s="8" t="s">
        <v>33</v>
      </c>
      <c r="F97" s="6" t="s">
        <v>33</v>
      </c>
      <c r="G97" s="6"/>
      <c r="H97" s="6" t="str">
        <f aca="false">IF(Table2[[#This Row],[Need Mark]]="Y",C97&amp;"-"&amp;D97&amp;"/"&amp;L97,"-")</f>
        <v>-</v>
      </c>
      <c r="I97" s="6" t="str">
        <f aca="false">IF(Table2[[#This Row],[Need Mark]]="Y",L97&amp;"/"&amp;C97&amp;"-"&amp;D97,"-")</f>
        <v>-</v>
      </c>
      <c r="J97" s="6"/>
      <c r="K97" s="6" t="s">
        <v>154</v>
      </c>
      <c r="L97" s="6" t="str">
        <f aca="false">A97&amp;"-"&amp;K97&amp;"-"&amp;Z97&amp;"("&amp;Table2[[#This Row],[Column5]]&amp;")"</f>
        <v>P4-TBSI3-M16(11)</v>
      </c>
      <c r="M97" s="6"/>
      <c r="N97" s="6"/>
      <c r="O97" s="6"/>
      <c r="P97" s="6"/>
      <c r="Q97" s="6"/>
      <c r="R97" s="1" t="s">
        <v>169</v>
      </c>
      <c r="S97" s="1" t="s">
        <v>186</v>
      </c>
      <c r="T97" s="1" t="s">
        <v>187</v>
      </c>
      <c r="U97" s="1" t="n">
        <v>1</v>
      </c>
      <c r="V97" s="1" t="s">
        <v>39</v>
      </c>
      <c r="X97" s="6" t="s">
        <v>40</v>
      </c>
      <c r="Y97" s="6" t="s">
        <v>41</v>
      </c>
      <c r="Z97" s="6" t="str">
        <f aca="false">Z98</f>
        <v>M16</v>
      </c>
      <c r="AA97" s="6" t="n">
        <v>11</v>
      </c>
      <c r="AC97" s="1" t="s">
        <v>42</v>
      </c>
    </row>
    <row r="98" customFormat="false" ht="15" hidden="false" customHeight="true" outlineLevel="0" collapsed="false">
      <c r="A98" s="6" t="s">
        <v>29</v>
      </c>
      <c r="B98" s="7" t="s">
        <v>153</v>
      </c>
      <c r="C98" s="8" t="s">
        <v>153</v>
      </c>
      <c r="D98" s="9" t="n">
        <v>16</v>
      </c>
      <c r="E98" s="8" t="s">
        <v>43</v>
      </c>
      <c r="F98" s="8" t="s">
        <v>101</v>
      </c>
      <c r="G98" s="6" t="s">
        <v>34</v>
      </c>
      <c r="H98" s="6" t="str">
        <f aca="false">IF(Table2[[#This Row],[Need Mark]]="Y",C98&amp;"-"&amp;D98&amp;"/"&amp;L98,"-")</f>
        <v>C4S2-16/P4-TBSI3-M16(14)</v>
      </c>
      <c r="I98" s="6" t="str">
        <f aca="false">IF(Table2[[#This Row],[Need Mark]]="Y",L98&amp;"/"&amp;C98&amp;"-"&amp;D98,"-")</f>
        <v>P4-TBSI3-M16(14)/C4S2-16</v>
      </c>
      <c r="J98" s="6"/>
      <c r="K98" s="6" t="s">
        <v>154</v>
      </c>
      <c r="L98" s="6" t="str">
        <f aca="false">A98&amp;"-"&amp;K98&amp;"-"&amp;Z98&amp;"("&amp;Table2[[#This Row],[Column5]]&amp;")"</f>
        <v>P4-TBSI3-M16(14)</v>
      </c>
      <c r="M98" s="6"/>
      <c r="N98" s="6"/>
      <c r="O98" s="6"/>
      <c r="P98" s="6"/>
      <c r="Q98" s="6"/>
      <c r="R98" s="1" t="s">
        <v>169</v>
      </c>
      <c r="S98" s="1" t="s">
        <v>186</v>
      </c>
      <c r="T98" s="1" t="s">
        <v>187</v>
      </c>
      <c r="U98" s="6" t="n">
        <v>2</v>
      </c>
      <c r="V98" s="1" t="s">
        <v>39</v>
      </c>
      <c r="X98" s="6" t="s">
        <v>40</v>
      </c>
      <c r="Y98" s="6" t="s">
        <v>41</v>
      </c>
      <c r="Z98" s="6" t="s">
        <v>102</v>
      </c>
      <c r="AA98" s="6" t="n">
        <v>14</v>
      </c>
      <c r="AC98" s="1" t="s">
        <v>42</v>
      </c>
    </row>
    <row r="99" customFormat="false" ht="15" hidden="false" customHeight="true" outlineLevel="0" collapsed="false">
      <c r="A99" s="6" t="s">
        <v>29</v>
      </c>
      <c r="B99" s="7" t="s">
        <v>153</v>
      </c>
      <c r="C99" s="8" t="s">
        <v>31</v>
      </c>
      <c r="D99" s="9" t="s">
        <v>103</v>
      </c>
      <c r="E99" s="8" t="s">
        <v>33</v>
      </c>
      <c r="F99" s="6" t="s">
        <v>33</v>
      </c>
      <c r="G99" s="6" t="s">
        <v>34</v>
      </c>
      <c r="H99" s="6" t="str">
        <f aca="false">IF(Table2[[#This Row],[Need Mark]]="Y",C99&amp;"-"&amp;D99&amp;"/"&amp;L99,"-")</f>
        <v>TB-24VDC-2(2)/P4-TBSI4-M1(11)</v>
      </c>
      <c r="I99" s="6" t="str">
        <f aca="false">IF(Table2[[#This Row],[Need Mark]]="Y",L99&amp;"/"&amp;C99&amp;"-"&amp;D99,"-")</f>
        <v>P4-TBSI4-M1(11)/TB-24VDC-2(2)</v>
      </c>
      <c r="J99" s="6"/>
      <c r="K99" s="6" t="s">
        <v>188</v>
      </c>
      <c r="L99" s="6" t="str">
        <f aca="false">A99&amp;"-"&amp;K99&amp;"-"&amp;Z99&amp;"("&amp;Table2[[#This Row],[Column5]]&amp;")"</f>
        <v>P4-TBSI4-M1(11)</v>
      </c>
      <c r="M99" s="6"/>
      <c r="N99" s="6"/>
      <c r="O99" s="6"/>
      <c r="P99" s="6"/>
      <c r="Q99" s="6"/>
      <c r="R99" s="1" t="s">
        <v>169</v>
      </c>
      <c r="S99" s="1" t="s">
        <v>189</v>
      </c>
      <c r="T99" s="1" t="s">
        <v>190</v>
      </c>
      <c r="U99" s="1" t="n">
        <v>1</v>
      </c>
      <c r="V99" s="1" t="s">
        <v>39</v>
      </c>
      <c r="X99" s="6" t="s">
        <v>40</v>
      </c>
      <c r="Y99" s="6" t="s">
        <v>41</v>
      </c>
      <c r="Z99" s="6" t="str">
        <f aca="false">Z100</f>
        <v>M1</v>
      </c>
      <c r="AA99" s="6" t="n">
        <v>11</v>
      </c>
      <c r="AC99" s="1" t="s">
        <v>42</v>
      </c>
    </row>
    <row r="100" customFormat="false" ht="15" hidden="false" customHeight="true" outlineLevel="0" collapsed="false">
      <c r="A100" s="6" t="s">
        <v>29</v>
      </c>
      <c r="B100" s="7" t="s">
        <v>153</v>
      </c>
      <c r="C100" s="8" t="s">
        <v>153</v>
      </c>
      <c r="D100" s="9" t="n">
        <v>19</v>
      </c>
      <c r="E100" s="8" t="s">
        <v>43</v>
      </c>
      <c r="F100" s="8" t="s">
        <v>108</v>
      </c>
      <c r="G100" s="6" t="s">
        <v>34</v>
      </c>
      <c r="H100" s="6" t="str">
        <f aca="false">IF(Table2[[#This Row],[Need Mark]]="Y",C100&amp;"-"&amp;D100&amp;"/"&amp;L100,"-")</f>
        <v>C4S2-19/P4-TBSI4-M1(14)</v>
      </c>
      <c r="I100" s="6" t="str">
        <f aca="false">IF(Table2[[#This Row],[Need Mark]]="Y",L100&amp;"/"&amp;C100&amp;"-"&amp;D100,"-")</f>
        <v>P4-TBSI4-M1(14)/C4S2-19</v>
      </c>
      <c r="J100" s="6"/>
      <c r="K100" s="6" t="s">
        <v>188</v>
      </c>
      <c r="L100" s="6" t="str">
        <f aca="false">A100&amp;"-"&amp;K100&amp;"-"&amp;Z100&amp;"("&amp;Table2[[#This Row],[Column5]]&amp;")"</f>
        <v>P4-TBSI4-M1(14)</v>
      </c>
      <c r="M100" s="6"/>
      <c r="N100" s="6"/>
      <c r="O100" s="6"/>
      <c r="P100" s="6"/>
      <c r="Q100" s="6"/>
      <c r="R100" s="1" t="s">
        <v>169</v>
      </c>
      <c r="S100" s="1" t="s">
        <v>189</v>
      </c>
      <c r="T100" s="1" t="s">
        <v>190</v>
      </c>
      <c r="U100" s="6" t="n">
        <v>2</v>
      </c>
      <c r="V100" s="1" t="s">
        <v>39</v>
      </c>
      <c r="X100" s="6" t="s">
        <v>40</v>
      </c>
      <c r="Y100" s="6" t="s">
        <v>41</v>
      </c>
      <c r="Z100" s="6" t="s">
        <v>45</v>
      </c>
      <c r="AA100" s="6" t="n">
        <v>14</v>
      </c>
      <c r="AC100" s="1" t="s">
        <v>42</v>
      </c>
    </row>
    <row r="101" customFormat="false" ht="15" hidden="false" customHeight="true" outlineLevel="0" collapsed="false">
      <c r="A101" s="6" t="s">
        <v>29</v>
      </c>
      <c r="B101" s="7" t="s">
        <v>153</v>
      </c>
      <c r="C101" s="8" t="s">
        <v>31</v>
      </c>
      <c r="D101" s="9" t="s">
        <v>103</v>
      </c>
      <c r="E101" s="8" t="s">
        <v>33</v>
      </c>
      <c r="F101" s="6" t="s">
        <v>33</v>
      </c>
      <c r="G101" s="6"/>
      <c r="H101" s="6" t="str">
        <f aca="false">IF(Table2[[#This Row],[Need Mark]]="Y",C101&amp;"-"&amp;D101&amp;"/"&amp;L101,"-")</f>
        <v>-</v>
      </c>
      <c r="I101" s="6" t="str">
        <f aca="false">IF(Table2[[#This Row],[Need Mark]]="Y",L101&amp;"/"&amp;C101&amp;"-"&amp;D101,"-")</f>
        <v>-</v>
      </c>
      <c r="J101" s="6"/>
      <c r="K101" s="6" t="s">
        <v>188</v>
      </c>
      <c r="L101" s="6" t="str">
        <f aca="false">A101&amp;"-"&amp;K101&amp;"-"&amp;Z101&amp;"("&amp;Table2[[#This Row],[Column5]]&amp;")"</f>
        <v>P4-TBSI4-M2(11)</v>
      </c>
      <c r="M101" s="6"/>
      <c r="N101" s="6"/>
      <c r="O101" s="6"/>
      <c r="P101" s="6"/>
      <c r="Q101" s="6"/>
      <c r="R101" s="1" t="s">
        <v>169</v>
      </c>
      <c r="S101" s="1" t="s">
        <v>191</v>
      </c>
      <c r="T101" s="1" t="s">
        <v>192</v>
      </c>
      <c r="U101" s="1" t="n">
        <v>1</v>
      </c>
      <c r="V101" s="1" t="s">
        <v>39</v>
      </c>
      <c r="X101" s="6" t="s">
        <v>40</v>
      </c>
      <c r="Y101" s="6" t="s">
        <v>41</v>
      </c>
      <c r="Z101" s="6" t="str">
        <f aca="false">Z102</f>
        <v>M2</v>
      </c>
      <c r="AA101" s="6" t="n">
        <v>11</v>
      </c>
      <c r="AC101" s="1" t="s">
        <v>42</v>
      </c>
    </row>
    <row r="102" customFormat="false" ht="15" hidden="false" customHeight="true" outlineLevel="0" collapsed="false">
      <c r="A102" s="6" t="s">
        <v>29</v>
      </c>
      <c r="B102" s="7" t="s">
        <v>153</v>
      </c>
      <c r="C102" s="8" t="s">
        <v>153</v>
      </c>
      <c r="D102" s="9" t="n">
        <v>20</v>
      </c>
      <c r="E102" s="8" t="s">
        <v>43</v>
      </c>
      <c r="F102" s="8" t="s">
        <v>109</v>
      </c>
      <c r="G102" s="6" t="s">
        <v>34</v>
      </c>
      <c r="H102" s="6" t="str">
        <f aca="false">IF(Table2[[#This Row],[Need Mark]]="Y",C102&amp;"-"&amp;D102&amp;"/"&amp;L102,"-")</f>
        <v>C4S2-20/P4-TBSI4-M2(14)</v>
      </c>
      <c r="I102" s="6" t="str">
        <f aca="false">IF(Table2[[#This Row],[Need Mark]]="Y",L102&amp;"/"&amp;C102&amp;"-"&amp;D102,"-")</f>
        <v>P4-TBSI4-M2(14)/C4S2-20</v>
      </c>
      <c r="J102" s="6"/>
      <c r="K102" s="6" t="s">
        <v>188</v>
      </c>
      <c r="L102" s="6" t="str">
        <f aca="false">A102&amp;"-"&amp;K102&amp;"-"&amp;Z102&amp;"("&amp;Table2[[#This Row],[Column5]]&amp;")"</f>
        <v>P4-TBSI4-M2(14)</v>
      </c>
      <c r="M102" s="6"/>
      <c r="N102" s="6"/>
      <c r="O102" s="6"/>
      <c r="P102" s="6"/>
      <c r="Q102" s="6"/>
      <c r="R102" s="1" t="s">
        <v>169</v>
      </c>
      <c r="S102" s="1" t="s">
        <v>191</v>
      </c>
      <c r="T102" s="1" t="s">
        <v>192</v>
      </c>
      <c r="U102" s="6" t="n">
        <v>2</v>
      </c>
      <c r="V102" s="1" t="s">
        <v>39</v>
      </c>
      <c r="X102" s="6" t="s">
        <v>40</v>
      </c>
      <c r="Y102" s="6" t="s">
        <v>41</v>
      </c>
      <c r="Z102" s="6" t="s">
        <v>49</v>
      </c>
      <c r="AA102" s="6" t="n">
        <v>14</v>
      </c>
      <c r="AC102" s="1" t="s">
        <v>42</v>
      </c>
    </row>
    <row r="103" customFormat="false" ht="15" hidden="false" customHeight="true" outlineLevel="0" collapsed="false">
      <c r="A103" s="6" t="s">
        <v>29</v>
      </c>
      <c r="B103" s="7" t="s">
        <v>153</v>
      </c>
      <c r="C103" s="8" t="s">
        <v>31</v>
      </c>
      <c r="D103" s="9" t="s">
        <v>103</v>
      </c>
      <c r="E103" s="8" t="s">
        <v>33</v>
      </c>
      <c r="F103" s="6" t="s">
        <v>33</v>
      </c>
      <c r="G103" s="6"/>
      <c r="H103" s="6" t="str">
        <f aca="false">IF(Table2[[#This Row],[Need Mark]]="Y",C103&amp;"-"&amp;D103&amp;"/"&amp;L103,"-")</f>
        <v>-</v>
      </c>
      <c r="I103" s="6" t="str">
        <f aca="false">IF(Table2[[#This Row],[Need Mark]]="Y",L103&amp;"/"&amp;C103&amp;"-"&amp;D103,"-")</f>
        <v>-</v>
      </c>
      <c r="J103" s="6"/>
      <c r="K103" s="6" t="s">
        <v>188</v>
      </c>
      <c r="L103" s="6" t="str">
        <f aca="false">A103&amp;"-"&amp;K103&amp;"-"&amp;Z103&amp;"("&amp;Table2[[#This Row],[Column5]]&amp;")"</f>
        <v>P4-TBSI4-M2(11)</v>
      </c>
      <c r="M103" s="6"/>
      <c r="N103" s="6"/>
      <c r="O103" s="6"/>
      <c r="P103" s="6"/>
      <c r="Q103" s="6"/>
      <c r="R103" s="1" t="s">
        <v>169</v>
      </c>
      <c r="S103" s="1" t="s">
        <v>193</v>
      </c>
      <c r="T103" s="1" t="s">
        <v>194</v>
      </c>
      <c r="U103" s="1" t="n">
        <v>1</v>
      </c>
      <c r="V103" s="1" t="s">
        <v>39</v>
      </c>
      <c r="X103" s="6" t="s">
        <v>40</v>
      </c>
      <c r="Y103" s="6" t="s">
        <v>41</v>
      </c>
      <c r="Z103" s="6" t="str">
        <f aca="false">Z104</f>
        <v>M2</v>
      </c>
      <c r="AA103" s="6" t="n">
        <v>11</v>
      </c>
      <c r="AC103" s="1" t="s">
        <v>42</v>
      </c>
    </row>
    <row r="104" customFormat="false" ht="15" hidden="false" customHeight="true" outlineLevel="0" collapsed="false">
      <c r="A104" s="6" t="s">
        <v>29</v>
      </c>
      <c r="B104" s="7" t="s">
        <v>153</v>
      </c>
      <c r="C104" s="8" t="s">
        <v>153</v>
      </c>
      <c r="D104" s="9" t="n">
        <v>21</v>
      </c>
      <c r="E104" s="8" t="s">
        <v>43</v>
      </c>
      <c r="F104" s="8" t="s">
        <v>112</v>
      </c>
      <c r="G104" s="6" t="s">
        <v>34</v>
      </c>
      <c r="H104" s="6" t="str">
        <f aca="false">IF(Table2[[#This Row],[Need Mark]]="Y",C104&amp;"-"&amp;D104&amp;"/"&amp;L104,"-")</f>
        <v>C4S2-21/P4-TBSI4-M2(14)</v>
      </c>
      <c r="I104" s="6" t="str">
        <f aca="false">IF(Table2[[#This Row],[Need Mark]]="Y",L104&amp;"/"&amp;C104&amp;"-"&amp;D104,"-")</f>
        <v>P4-TBSI4-M2(14)/C4S2-21</v>
      </c>
      <c r="J104" s="6"/>
      <c r="K104" s="6" t="s">
        <v>188</v>
      </c>
      <c r="L104" s="6" t="str">
        <f aca="false">A104&amp;"-"&amp;K104&amp;"-"&amp;Z104&amp;"("&amp;Table2[[#This Row],[Column5]]&amp;")"</f>
        <v>P4-TBSI4-M2(14)</v>
      </c>
      <c r="M104" s="6"/>
      <c r="N104" s="6"/>
      <c r="O104" s="6"/>
      <c r="P104" s="6"/>
      <c r="Q104" s="6"/>
      <c r="R104" s="1" t="s">
        <v>169</v>
      </c>
      <c r="S104" s="1" t="s">
        <v>193</v>
      </c>
      <c r="T104" s="1" t="s">
        <v>194</v>
      </c>
      <c r="U104" s="6" t="n">
        <v>2</v>
      </c>
      <c r="V104" s="1" t="s">
        <v>39</v>
      </c>
      <c r="X104" s="6" t="s">
        <v>40</v>
      </c>
      <c r="Y104" s="6" t="s">
        <v>41</v>
      </c>
      <c r="Z104" s="6" t="s">
        <v>49</v>
      </c>
      <c r="AA104" s="6" t="n">
        <v>14</v>
      </c>
      <c r="AC104" s="1" t="s">
        <v>42</v>
      </c>
    </row>
    <row r="105" customFormat="false" ht="15" hidden="false" customHeight="true" outlineLevel="0" collapsed="false">
      <c r="A105" s="6" t="s">
        <v>29</v>
      </c>
      <c r="B105" s="7" t="s">
        <v>153</v>
      </c>
      <c r="C105" s="8" t="s">
        <v>31</v>
      </c>
      <c r="D105" s="9" t="s">
        <v>103</v>
      </c>
      <c r="E105" s="8" t="s">
        <v>33</v>
      </c>
      <c r="F105" s="6" t="s">
        <v>33</v>
      </c>
      <c r="G105" s="6"/>
      <c r="H105" s="6" t="str">
        <f aca="false">IF(Table2[[#This Row],[Need Mark]]="Y",C105&amp;"-"&amp;D105&amp;"/"&amp;L105,"-")</f>
        <v>-</v>
      </c>
      <c r="I105" s="6" t="str">
        <f aca="false">IF(Table2[[#This Row],[Need Mark]]="Y",L105&amp;"/"&amp;C105&amp;"-"&amp;D105,"-")</f>
        <v>-</v>
      </c>
      <c r="J105" s="6"/>
      <c r="K105" s="6" t="s">
        <v>188</v>
      </c>
      <c r="L105" s="6" t="str">
        <f aca="false">A105&amp;"-"&amp;K105&amp;"-"&amp;Z105&amp;"("&amp;Table2[[#This Row],[Column5]]&amp;")"</f>
        <v>P4-TBSI4-M3(11)</v>
      </c>
      <c r="M105" s="6"/>
      <c r="N105" s="6"/>
      <c r="O105" s="6"/>
      <c r="P105" s="6"/>
      <c r="Q105" s="6"/>
      <c r="R105" s="1" t="s">
        <v>169</v>
      </c>
      <c r="S105" s="1" t="s">
        <v>195</v>
      </c>
      <c r="T105" s="1" t="s">
        <v>196</v>
      </c>
      <c r="U105" s="1" t="n">
        <v>1</v>
      </c>
      <c r="V105" s="1" t="s">
        <v>39</v>
      </c>
      <c r="X105" s="6" t="s">
        <v>40</v>
      </c>
      <c r="Y105" s="6" t="s">
        <v>41</v>
      </c>
      <c r="Z105" s="6" t="str">
        <f aca="false">Z106</f>
        <v>M3</v>
      </c>
      <c r="AA105" s="6" t="n">
        <v>11</v>
      </c>
      <c r="AC105" s="1" t="s">
        <v>42</v>
      </c>
    </row>
    <row r="106" customFormat="false" ht="15" hidden="false" customHeight="true" outlineLevel="0" collapsed="false">
      <c r="A106" s="6" t="s">
        <v>29</v>
      </c>
      <c r="B106" s="7" t="s">
        <v>153</v>
      </c>
      <c r="C106" s="8" t="s">
        <v>153</v>
      </c>
      <c r="D106" s="9" t="n">
        <v>22</v>
      </c>
      <c r="E106" s="8" t="s">
        <v>43</v>
      </c>
      <c r="F106" s="8" t="s">
        <v>115</v>
      </c>
      <c r="G106" s="6" t="s">
        <v>34</v>
      </c>
      <c r="H106" s="6" t="str">
        <f aca="false">IF(Table2[[#This Row],[Need Mark]]="Y",C106&amp;"-"&amp;D106&amp;"/"&amp;L106,"-")</f>
        <v>C4S2-22/P4-TBSI4-M3(14)</v>
      </c>
      <c r="I106" s="6" t="str">
        <f aca="false">IF(Table2[[#This Row],[Need Mark]]="Y",L106&amp;"/"&amp;C106&amp;"-"&amp;D106,"-")</f>
        <v>P4-TBSI4-M3(14)/C4S2-22</v>
      </c>
      <c r="J106" s="6"/>
      <c r="K106" s="6" t="s">
        <v>188</v>
      </c>
      <c r="L106" s="6" t="str">
        <f aca="false">A106&amp;"-"&amp;K106&amp;"-"&amp;Z106&amp;"("&amp;Table2[[#This Row],[Column5]]&amp;")"</f>
        <v>P4-TBSI4-M3(14)</v>
      </c>
      <c r="M106" s="6"/>
      <c r="N106" s="6"/>
      <c r="O106" s="6"/>
      <c r="P106" s="6"/>
      <c r="Q106" s="6"/>
      <c r="R106" s="1" t="s">
        <v>169</v>
      </c>
      <c r="S106" s="1" t="s">
        <v>195</v>
      </c>
      <c r="T106" s="1" t="s">
        <v>196</v>
      </c>
      <c r="U106" s="6" t="n">
        <v>2</v>
      </c>
      <c r="V106" s="1" t="s">
        <v>39</v>
      </c>
      <c r="X106" s="6" t="s">
        <v>40</v>
      </c>
      <c r="Y106" s="6" t="s">
        <v>41</v>
      </c>
      <c r="Z106" s="6" t="s">
        <v>56</v>
      </c>
      <c r="AA106" s="6" t="n">
        <v>14</v>
      </c>
      <c r="AC106" s="1" t="s">
        <v>42</v>
      </c>
    </row>
    <row r="107" customFormat="false" ht="15" hidden="false" customHeight="true" outlineLevel="0" collapsed="false">
      <c r="A107" s="6" t="s">
        <v>29</v>
      </c>
      <c r="B107" s="7" t="s">
        <v>153</v>
      </c>
      <c r="C107" s="8" t="s">
        <v>31</v>
      </c>
      <c r="D107" s="9" t="s">
        <v>103</v>
      </c>
      <c r="E107" s="8" t="s">
        <v>33</v>
      </c>
      <c r="F107" s="6" t="s">
        <v>33</v>
      </c>
      <c r="G107" s="6"/>
      <c r="H107" s="6" t="str">
        <f aca="false">IF(Table2[[#This Row],[Need Mark]]="Y",C107&amp;"-"&amp;D107&amp;"/"&amp;L107,"-")</f>
        <v>-</v>
      </c>
      <c r="I107" s="6" t="str">
        <f aca="false">IF(Table2[[#This Row],[Need Mark]]="Y",L107&amp;"/"&amp;C107&amp;"-"&amp;D107,"-")</f>
        <v>-</v>
      </c>
      <c r="J107" s="6"/>
      <c r="K107" s="6" t="s">
        <v>188</v>
      </c>
      <c r="L107" s="6" t="str">
        <f aca="false">A107&amp;"-"&amp;K107&amp;"-"&amp;Z107&amp;"("&amp;Table2[[#This Row],[Column5]]&amp;")"</f>
        <v>P4-TBSI4-M5(11)</v>
      </c>
      <c r="M107" s="6"/>
      <c r="N107" s="6"/>
      <c r="O107" s="6"/>
      <c r="P107" s="6"/>
      <c r="Q107" s="6"/>
      <c r="R107" s="1" t="s">
        <v>105</v>
      </c>
      <c r="S107" s="1" t="s">
        <v>197</v>
      </c>
      <c r="T107" s="1" t="s">
        <v>198</v>
      </c>
      <c r="U107" s="1" t="n">
        <v>1</v>
      </c>
      <c r="V107" s="1" t="s">
        <v>39</v>
      </c>
      <c r="X107" s="6" t="s">
        <v>40</v>
      </c>
      <c r="Y107" s="6" t="s">
        <v>199</v>
      </c>
      <c r="Z107" s="6" t="str">
        <f aca="false">Z108</f>
        <v>M5</v>
      </c>
      <c r="AA107" s="6" t="n">
        <v>11</v>
      </c>
      <c r="AC107" s="1" t="s">
        <v>42</v>
      </c>
    </row>
    <row r="108" customFormat="false" ht="15" hidden="false" customHeight="true" outlineLevel="0" collapsed="false">
      <c r="A108" s="6" t="s">
        <v>29</v>
      </c>
      <c r="B108" s="7" t="s">
        <v>153</v>
      </c>
      <c r="C108" s="8" t="s">
        <v>153</v>
      </c>
      <c r="D108" s="9" t="n">
        <v>23</v>
      </c>
      <c r="E108" s="8" t="s">
        <v>43</v>
      </c>
      <c r="F108" s="8" t="s">
        <v>118</v>
      </c>
      <c r="G108" s="6" t="s">
        <v>34</v>
      </c>
      <c r="H108" s="6" t="str">
        <f aca="false">IF(Table2[[#This Row],[Need Mark]]="Y",C108&amp;"-"&amp;D108&amp;"/"&amp;L108,"-")</f>
        <v>C4S2-23/P4-TBSI4-M5(14)</v>
      </c>
      <c r="I108" s="6" t="str">
        <f aca="false">IF(Table2[[#This Row],[Need Mark]]="Y",L108&amp;"/"&amp;C108&amp;"-"&amp;D108,"-")</f>
        <v>P4-TBSI4-M5(14)/C4S2-23</v>
      </c>
      <c r="J108" s="6"/>
      <c r="K108" s="6" t="s">
        <v>188</v>
      </c>
      <c r="L108" s="6" t="str">
        <f aca="false">A108&amp;"-"&amp;K108&amp;"-"&amp;Z108&amp;"("&amp;Table2[[#This Row],[Column5]]&amp;")"</f>
        <v>P4-TBSI4-M5(14)</v>
      </c>
      <c r="M108" s="6"/>
      <c r="N108" s="6"/>
      <c r="O108" s="6"/>
      <c r="P108" s="6"/>
      <c r="Q108" s="6"/>
      <c r="R108" s="1" t="s">
        <v>105</v>
      </c>
      <c r="S108" s="1" t="s">
        <v>197</v>
      </c>
      <c r="T108" s="1" t="s">
        <v>198</v>
      </c>
      <c r="U108" s="6" t="n">
        <v>2</v>
      </c>
      <c r="V108" s="1" t="s">
        <v>39</v>
      </c>
      <c r="X108" s="6" t="s">
        <v>40</v>
      </c>
      <c r="Y108" s="6" t="s">
        <v>199</v>
      </c>
      <c r="Z108" s="6" t="s">
        <v>60</v>
      </c>
      <c r="AA108" s="6" t="n">
        <v>14</v>
      </c>
      <c r="AC108" s="1" t="s">
        <v>42</v>
      </c>
    </row>
    <row r="109" customFormat="false" ht="15" hidden="false" customHeight="true" outlineLevel="0" collapsed="false">
      <c r="A109" s="6" t="s">
        <v>29</v>
      </c>
      <c r="B109" s="7" t="s">
        <v>153</v>
      </c>
      <c r="C109" s="8" t="s">
        <v>31</v>
      </c>
      <c r="D109" s="9" t="s">
        <v>103</v>
      </c>
      <c r="E109" s="8" t="s">
        <v>33</v>
      </c>
      <c r="F109" s="6" t="s">
        <v>33</v>
      </c>
      <c r="G109" s="6"/>
      <c r="H109" s="6" t="str">
        <f aca="false">IF(Table2[[#This Row],[Need Mark]]="Y",C109&amp;"-"&amp;D109&amp;"/"&amp;L109,"-")</f>
        <v>-</v>
      </c>
      <c r="I109" s="6" t="str">
        <f aca="false">IF(Table2[[#This Row],[Need Mark]]="Y",L109&amp;"/"&amp;C109&amp;"-"&amp;D109,"-")</f>
        <v>-</v>
      </c>
      <c r="J109" s="6"/>
      <c r="K109" s="6" t="s">
        <v>188</v>
      </c>
      <c r="L109" s="6" t="str">
        <f aca="false">A109&amp;"-"&amp;K109&amp;"-"&amp;Z109&amp;"("&amp;Table2[[#This Row],[Column5]]&amp;")"</f>
        <v>P4-TBSI4-M6(11)</v>
      </c>
      <c r="M109" s="6"/>
      <c r="N109" s="6"/>
      <c r="O109" s="6"/>
      <c r="P109" s="6"/>
      <c r="Q109" s="6"/>
      <c r="U109" s="1" t="n">
        <v>1</v>
      </c>
      <c r="V109" s="2" t="s">
        <v>39</v>
      </c>
      <c r="X109" s="6" t="s">
        <v>40</v>
      </c>
      <c r="Y109" s="6" t="s">
        <v>200</v>
      </c>
      <c r="Z109" s="6" t="str">
        <f aca="false">Z110</f>
        <v>M6</v>
      </c>
      <c r="AA109" s="6" t="n">
        <v>11</v>
      </c>
      <c r="AC109" s="1" t="s">
        <v>42</v>
      </c>
    </row>
    <row r="110" customFormat="false" ht="15" hidden="false" customHeight="true" outlineLevel="0" collapsed="false">
      <c r="A110" s="6" t="s">
        <v>29</v>
      </c>
      <c r="B110" s="7" t="s">
        <v>153</v>
      </c>
      <c r="C110" s="8" t="s">
        <v>153</v>
      </c>
      <c r="D110" s="9" t="n">
        <v>24</v>
      </c>
      <c r="E110" s="8" t="s">
        <v>43</v>
      </c>
      <c r="F110" s="6" t="s">
        <v>121</v>
      </c>
      <c r="G110" s="6" t="s">
        <v>34</v>
      </c>
      <c r="H110" s="6" t="str">
        <f aca="false">IF(Table2[[#This Row],[Need Mark]]="Y",C110&amp;"-"&amp;D110&amp;"/"&amp;L110,"-")</f>
        <v>C4S2-24/P4-TBSI4-M6(14)</v>
      </c>
      <c r="I110" s="6" t="str">
        <f aca="false">IF(Table2[[#This Row],[Need Mark]]="Y",L110&amp;"/"&amp;C110&amp;"-"&amp;D110,"-")</f>
        <v>P4-TBSI4-M6(14)/C4S2-24</v>
      </c>
      <c r="J110" s="6"/>
      <c r="K110" s="6" t="s">
        <v>188</v>
      </c>
      <c r="L110" s="6" t="str">
        <f aca="false">A110&amp;"-"&amp;K110&amp;"-"&amp;Z110&amp;"("&amp;Table2[[#This Row],[Column5]]&amp;")"</f>
        <v>P4-TBSI4-M6(14)</v>
      </c>
      <c r="M110" s="6"/>
      <c r="N110" s="6"/>
      <c r="O110" s="6"/>
      <c r="P110" s="6"/>
      <c r="Q110" s="6"/>
      <c r="U110" s="6" t="n">
        <v>2</v>
      </c>
      <c r="V110" s="2" t="s">
        <v>39</v>
      </c>
      <c r="X110" s="6" t="s">
        <v>40</v>
      </c>
      <c r="Y110" s="6" t="s">
        <v>200</v>
      </c>
      <c r="Z110" s="6" t="s">
        <v>64</v>
      </c>
      <c r="AA110" s="6" t="n">
        <v>14</v>
      </c>
      <c r="AC110" s="1" t="s">
        <v>42</v>
      </c>
    </row>
    <row r="111" customFormat="false" ht="15" hidden="false" customHeight="true" outlineLevel="0" collapsed="false">
      <c r="A111" s="6" t="s">
        <v>29</v>
      </c>
      <c r="B111" s="7" t="s">
        <v>153</v>
      </c>
      <c r="C111" s="8" t="s">
        <v>31</v>
      </c>
      <c r="D111" s="9" t="s">
        <v>103</v>
      </c>
      <c r="E111" s="8" t="s">
        <v>33</v>
      </c>
      <c r="F111" s="6" t="s">
        <v>33</v>
      </c>
      <c r="G111" s="6"/>
      <c r="H111" s="6" t="str">
        <f aca="false">IF(Table2[[#This Row],[Need Mark]]="Y",C111&amp;"-"&amp;D111&amp;"/"&amp;L111,"-")</f>
        <v>-</v>
      </c>
      <c r="I111" s="6" t="str">
        <f aca="false">IF(Table2[[#This Row],[Need Mark]]="Y",L111&amp;"/"&amp;C111&amp;"-"&amp;D111,"-")</f>
        <v>-</v>
      </c>
      <c r="J111" s="6"/>
      <c r="K111" s="6" t="s">
        <v>188</v>
      </c>
      <c r="L111" s="6" t="str">
        <f aca="false">A111&amp;"-"&amp;K111&amp;"-"&amp;Z111&amp;"("&amp;Table2[[#This Row],[Column5]]&amp;")"</f>
        <v>P4-TBSI4-M7(11)</v>
      </c>
      <c r="M111" s="6"/>
      <c r="N111" s="6"/>
      <c r="O111" s="6"/>
      <c r="P111" s="6"/>
      <c r="Q111" s="6"/>
      <c r="U111" s="1" t="n">
        <v>1</v>
      </c>
      <c r="V111" s="2" t="s">
        <v>39</v>
      </c>
      <c r="X111" s="6" t="s">
        <v>40</v>
      </c>
      <c r="Y111" s="6" t="s">
        <v>200</v>
      </c>
      <c r="Z111" s="6" t="str">
        <f aca="false">Z112</f>
        <v>M7</v>
      </c>
      <c r="AA111" s="6" t="n">
        <v>11</v>
      </c>
      <c r="AC111" s="1" t="s">
        <v>42</v>
      </c>
    </row>
    <row r="112" customFormat="false" ht="15" hidden="false" customHeight="true" outlineLevel="0" collapsed="false">
      <c r="A112" s="6" t="s">
        <v>29</v>
      </c>
      <c r="B112" s="7" t="s">
        <v>153</v>
      </c>
      <c r="C112" s="8" t="s">
        <v>153</v>
      </c>
      <c r="D112" s="9" t="n">
        <v>25</v>
      </c>
      <c r="E112" s="8" t="s">
        <v>43</v>
      </c>
      <c r="F112" s="6" t="s">
        <v>124</v>
      </c>
      <c r="G112" s="6" t="s">
        <v>34</v>
      </c>
      <c r="H112" s="6" t="str">
        <f aca="false">IF(Table2[[#This Row],[Need Mark]]="Y",C112&amp;"-"&amp;D112&amp;"/"&amp;L112,"-")</f>
        <v>C4S2-25/P4-TBSI4-M7(14)</v>
      </c>
      <c r="I112" s="6" t="str">
        <f aca="false">IF(Table2[[#This Row],[Need Mark]]="Y",L112&amp;"/"&amp;C112&amp;"-"&amp;D112,"-")</f>
        <v>P4-TBSI4-M7(14)/C4S2-25</v>
      </c>
      <c r="J112" s="6"/>
      <c r="K112" s="6" t="s">
        <v>188</v>
      </c>
      <c r="L112" s="6" t="str">
        <f aca="false">A112&amp;"-"&amp;K112&amp;"-"&amp;Z112&amp;"("&amp;Table2[[#This Row],[Column5]]&amp;")"</f>
        <v>P4-TBSI4-M7(14)</v>
      </c>
      <c r="M112" s="6"/>
      <c r="N112" s="6"/>
      <c r="O112" s="6"/>
      <c r="P112" s="6"/>
      <c r="Q112" s="6"/>
      <c r="U112" s="6" t="n">
        <v>2</v>
      </c>
      <c r="V112" s="2" t="s">
        <v>39</v>
      </c>
      <c r="X112" s="6" t="s">
        <v>40</v>
      </c>
      <c r="Y112" s="6" t="s">
        <v>200</v>
      </c>
      <c r="Z112" s="6" t="s">
        <v>68</v>
      </c>
      <c r="AA112" s="6" t="n">
        <v>14</v>
      </c>
      <c r="AC112" s="1" t="s">
        <v>42</v>
      </c>
    </row>
    <row r="113" customFormat="false" ht="15" hidden="false" customHeight="true" outlineLevel="0" collapsed="false">
      <c r="A113" s="6" t="s">
        <v>29</v>
      </c>
      <c r="B113" s="7" t="s">
        <v>153</v>
      </c>
      <c r="C113" s="8" t="s">
        <v>31</v>
      </c>
      <c r="D113" s="9" t="s">
        <v>103</v>
      </c>
      <c r="E113" s="8" t="s">
        <v>33</v>
      </c>
      <c r="F113" s="6" t="s">
        <v>33</v>
      </c>
      <c r="G113" s="6"/>
      <c r="H113" s="6" t="str">
        <f aca="false">IF(Table2[[#This Row],[Need Mark]]="Y",C113&amp;"-"&amp;D113&amp;"/"&amp;L113,"-")</f>
        <v>-</v>
      </c>
      <c r="I113" s="6" t="str">
        <f aca="false">IF(Table2[[#This Row],[Need Mark]]="Y",L113&amp;"/"&amp;C113&amp;"-"&amp;D113,"-")</f>
        <v>-</v>
      </c>
      <c r="J113" s="6"/>
      <c r="K113" s="6" t="s">
        <v>188</v>
      </c>
      <c r="L113" s="6" t="str">
        <f aca="false">A113&amp;"-"&amp;K113&amp;"-"&amp;Z113&amp;"("&amp;Table2[[#This Row],[Column5]]&amp;")"</f>
        <v>P4-TBSI4-M8(11)</v>
      </c>
      <c r="M113" s="6"/>
      <c r="N113" s="6"/>
      <c r="O113" s="6"/>
      <c r="P113" s="6"/>
      <c r="Q113" s="6"/>
      <c r="R113" s="1" t="s">
        <v>36</v>
      </c>
      <c r="S113" s="1" t="s">
        <v>201</v>
      </c>
      <c r="T113" s="1" t="s">
        <v>202</v>
      </c>
      <c r="U113" s="1" t="n">
        <v>1</v>
      </c>
      <c r="V113" s="1" t="s">
        <v>203</v>
      </c>
      <c r="X113" s="6" t="s">
        <v>40</v>
      </c>
      <c r="Y113" s="6" t="s">
        <v>204</v>
      </c>
      <c r="Z113" s="6" t="str">
        <f aca="false">Z114</f>
        <v>M8</v>
      </c>
      <c r="AA113" s="6" t="n">
        <v>11</v>
      </c>
      <c r="AC113" s="1" t="s">
        <v>42</v>
      </c>
    </row>
    <row r="114" customFormat="false" ht="15" hidden="false" customHeight="true" outlineLevel="0" collapsed="false">
      <c r="A114" s="6" t="s">
        <v>29</v>
      </c>
      <c r="B114" s="7" t="s">
        <v>153</v>
      </c>
      <c r="C114" s="8" t="s">
        <v>153</v>
      </c>
      <c r="D114" s="9" t="n">
        <v>26</v>
      </c>
      <c r="E114" s="8" t="s">
        <v>43</v>
      </c>
      <c r="F114" s="6" t="s">
        <v>127</v>
      </c>
      <c r="G114" s="6" t="s">
        <v>34</v>
      </c>
      <c r="H114" s="6" t="str">
        <f aca="false">IF(Table2[[#This Row],[Need Mark]]="Y",C114&amp;"-"&amp;D114&amp;"/"&amp;L114,"-")</f>
        <v>C4S2-26/P4-TBSI4-M8(14)</v>
      </c>
      <c r="I114" s="6" t="str">
        <f aca="false">IF(Table2[[#This Row],[Need Mark]]="Y",L114&amp;"/"&amp;C114&amp;"-"&amp;D114,"-")</f>
        <v>P4-TBSI4-M8(14)/C4S2-26</v>
      </c>
      <c r="J114" s="6"/>
      <c r="K114" s="6" t="s">
        <v>188</v>
      </c>
      <c r="L114" s="6" t="str">
        <f aca="false">A114&amp;"-"&amp;K114&amp;"-"&amp;Z114&amp;"("&amp;Table2[[#This Row],[Column5]]&amp;")"</f>
        <v>P4-TBSI4-M8(14)</v>
      </c>
      <c r="M114" s="6"/>
      <c r="N114" s="6"/>
      <c r="O114" s="6"/>
      <c r="P114" s="6"/>
      <c r="Q114" s="6"/>
      <c r="R114" s="1" t="s">
        <v>36</v>
      </c>
      <c r="S114" s="1" t="s">
        <v>201</v>
      </c>
      <c r="T114" s="1" t="s">
        <v>202</v>
      </c>
      <c r="U114" s="6" t="n">
        <v>2</v>
      </c>
      <c r="V114" s="1" t="s">
        <v>203</v>
      </c>
      <c r="X114" s="6" t="s">
        <v>40</v>
      </c>
      <c r="Y114" s="6" t="s">
        <v>204</v>
      </c>
      <c r="Z114" s="6" t="s">
        <v>72</v>
      </c>
      <c r="AA114" s="6" t="n">
        <v>14</v>
      </c>
      <c r="AC114" s="1" t="s">
        <v>42</v>
      </c>
    </row>
    <row r="115" customFormat="false" ht="15" hidden="false" customHeight="true" outlineLevel="0" collapsed="false">
      <c r="A115" s="6" t="s">
        <v>29</v>
      </c>
      <c r="B115" s="7" t="s">
        <v>153</v>
      </c>
      <c r="C115" s="8" t="s">
        <v>31</v>
      </c>
      <c r="D115" s="9" t="s">
        <v>103</v>
      </c>
      <c r="E115" s="8" t="s">
        <v>33</v>
      </c>
      <c r="F115" s="6" t="s">
        <v>33</v>
      </c>
      <c r="G115" s="6"/>
      <c r="H115" s="6" t="str">
        <f aca="false">IF(Table2[[#This Row],[Need Mark]]="Y",C115&amp;"-"&amp;D115&amp;"/"&amp;L115,"-")</f>
        <v>-</v>
      </c>
      <c r="I115" s="6" t="str">
        <f aca="false">IF(Table2[[#This Row],[Need Mark]]="Y",L115&amp;"/"&amp;C115&amp;"-"&amp;D115,"-")</f>
        <v>-</v>
      </c>
      <c r="J115" s="6"/>
      <c r="K115" s="6" t="s">
        <v>188</v>
      </c>
      <c r="L115" s="6" t="str">
        <f aca="false">A115&amp;"-"&amp;K115&amp;"-"&amp;Z115&amp;"("&amp;Table2[[#This Row],[Column5]]&amp;")"</f>
        <v>P4-TBSI4-M9(11)</v>
      </c>
      <c r="M115" s="6"/>
      <c r="N115" s="6"/>
      <c r="O115" s="6"/>
      <c r="P115" s="6"/>
      <c r="Q115" s="6"/>
      <c r="R115" s="1" t="s">
        <v>36</v>
      </c>
      <c r="S115" s="1" t="s">
        <v>205</v>
      </c>
      <c r="T115" s="1" t="s">
        <v>206</v>
      </c>
      <c r="U115" s="1" t="n">
        <v>1</v>
      </c>
      <c r="V115" s="1" t="s">
        <v>203</v>
      </c>
      <c r="X115" s="6" t="s">
        <v>40</v>
      </c>
      <c r="Y115" s="6" t="s">
        <v>204</v>
      </c>
      <c r="Z115" s="6" t="str">
        <f aca="false">Z116</f>
        <v>M9</v>
      </c>
      <c r="AA115" s="6" t="n">
        <v>11</v>
      </c>
      <c r="AC115" s="1" t="s">
        <v>42</v>
      </c>
    </row>
    <row r="116" customFormat="false" ht="15" hidden="false" customHeight="true" outlineLevel="0" collapsed="false">
      <c r="A116" s="6" t="s">
        <v>29</v>
      </c>
      <c r="B116" s="7" t="s">
        <v>153</v>
      </c>
      <c r="C116" s="8" t="s">
        <v>153</v>
      </c>
      <c r="D116" s="9" t="n">
        <v>27</v>
      </c>
      <c r="E116" s="8" t="s">
        <v>43</v>
      </c>
      <c r="F116" s="6" t="s">
        <v>131</v>
      </c>
      <c r="G116" s="6" t="s">
        <v>34</v>
      </c>
      <c r="H116" s="6" t="str">
        <f aca="false">IF(Table2[[#This Row],[Need Mark]]="Y",C116&amp;"-"&amp;D116&amp;"/"&amp;L116,"-")</f>
        <v>C4S2-27/P4-TBSI4-M9(14)</v>
      </c>
      <c r="I116" s="6" t="str">
        <f aca="false">IF(Table2[[#This Row],[Need Mark]]="Y",L116&amp;"/"&amp;C116&amp;"-"&amp;D116,"-")</f>
        <v>P4-TBSI4-M9(14)/C4S2-27</v>
      </c>
      <c r="J116" s="6"/>
      <c r="K116" s="6" t="s">
        <v>188</v>
      </c>
      <c r="L116" s="6" t="str">
        <f aca="false">A116&amp;"-"&amp;K116&amp;"-"&amp;Z116&amp;"("&amp;Table2[[#This Row],[Column5]]&amp;")"</f>
        <v>P4-TBSI4-M9(14)</v>
      </c>
      <c r="M116" s="6"/>
      <c r="N116" s="6"/>
      <c r="O116" s="6"/>
      <c r="P116" s="6"/>
      <c r="Q116" s="6"/>
      <c r="R116" s="1" t="s">
        <v>36</v>
      </c>
      <c r="S116" s="1" t="s">
        <v>205</v>
      </c>
      <c r="T116" s="1" t="s">
        <v>206</v>
      </c>
      <c r="U116" s="6" t="n">
        <v>2</v>
      </c>
      <c r="V116" s="1" t="s">
        <v>203</v>
      </c>
      <c r="X116" s="6" t="s">
        <v>40</v>
      </c>
      <c r="Y116" s="6" t="s">
        <v>204</v>
      </c>
      <c r="Z116" s="6" t="s">
        <v>76</v>
      </c>
      <c r="AA116" s="6" t="n">
        <v>14</v>
      </c>
      <c r="AC116" s="1" t="s">
        <v>42</v>
      </c>
    </row>
    <row r="117" customFormat="false" ht="15" hidden="false" customHeight="true" outlineLevel="0" collapsed="false">
      <c r="A117" s="6" t="s">
        <v>29</v>
      </c>
      <c r="B117" s="7" t="s">
        <v>153</v>
      </c>
      <c r="C117" s="8" t="s">
        <v>31</v>
      </c>
      <c r="D117" s="9" t="s">
        <v>103</v>
      </c>
      <c r="E117" s="8" t="s">
        <v>33</v>
      </c>
      <c r="F117" s="6" t="s">
        <v>33</v>
      </c>
      <c r="G117" s="6"/>
      <c r="H117" s="6" t="str">
        <f aca="false">IF(Table2[[#This Row],[Need Mark]]="Y",C117&amp;"-"&amp;D117&amp;"/"&amp;L117,"-")</f>
        <v>-</v>
      </c>
      <c r="I117" s="6" t="str">
        <f aca="false">IF(Table2[[#This Row],[Need Mark]]="Y",L117&amp;"/"&amp;C117&amp;"-"&amp;D117,"-")</f>
        <v>-</v>
      </c>
      <c r="J117" s="6"/>
      <c r="K117" s="6" t="s">
        <v>188</v>
      </c>
      <c r="L117" s="6" t="str">
        <f aca="false">A117&amp;"-"&amp;K117&amp;"-"&amp;Z117&amp;"("&amp;Table2[[#This Row],[Column5]]&amp;")"</f>
        <v>P4-TBSI4-M10(11)</v>
      </c>
      <c r="M117" s="6"/>
      <c r="N117" s="6"/>
      <c r="O117" s="6"/>
      <c r="P117" s="6"/>
      <c r="Q117" s="6"/>
      <c r="R117" s="1" t="s">
        <v>36</v>
      </c>
      <c r="S117" s="1" t="s">
        <v>207</v>
      </c>
      <c r="T117" s="1" t="s">
        <v>208</v>
      </c>
      <c r="U117" s="1" t="n">
        <v>1</v>
      </c>
      <c r="V117" s="1" t="s">
        <v>209</v>
      </c>
      <c r="X117" s="6" t="s">
        <v>40</v>
      </c>
      <c r="Y117" s="6" t="s">
        <v>204</v>
      </c>
      <c r="Z117" s="6" t="str">
        <f aca="false">Z118</f>
        <v>M10</v>
      </c>
      <c r="AA117" s="6" t="n">
        <v>11</v>
      </c>
      <c r="AC117" s="1" t="s">
        <v>42</v>
      </c>
    </row>
    <row r="118" customFormat="false" ht="15" hidden="false" customHeight="true" outlineLevel="0" collapsed="false">
      <c r="A118" s="6" t="s">
        <v>29</v>
      </c>
      <c r="B118" s="7" t="s">
        <v>153</v>
      </c>
      <c r="C118" s="8" t="s">
        <v>153</v>
      </c>
      <c r="D118" s="9" t="n">
        <v>28</v>
      </c>
      <c r="E118" s="8" t="s">
        <v>43</v>
      </c>
      <c r="F118" s="6" t="s">
        <v>134</v>
      </c>
      <c r="G118" s="6" t="s">
        <v>34</v>
      </c>
      <c r="H118" s="6" t="str">
        <f aca="false">IF(Table2[[#This Row],[Need Mark]]="Y",C118&amp;"-"&amp;D118&amp;"/"&amp;L118,"-")</f>
        <v>C4S2-28/P4-TBSI4-M10(14)</v>
      </c>
      <c r="I118" s="6" t="str">
        <f aca="false">IF(Table2[[#This Row],[Need Mark]]="Y",L118&amp;"/"&amp;C118&amp;"-"&amp;D118,"-")</f>
        <v>P4-TBSI4-M10(14)/C4S2-28</v>
      </c>
      <c r="J118" s="6"/>
      <c r="K118" s="6" t="s">
        <v>188</v>
      </c>
      <c r="L118" s="6" t="str">
        <f aca="false">A118&amp;"-"&amp;K118&amp;"-"&amp;Z118&amp;"("&amp;Table2[[#This Row],[Column5]]&amp;")"</f>
        <v>P4-TBSI4-M10(14)</v>
      </c>
      <c r="M118" s="6"/>
      <c r="N118" s="6"/>
      <c r="O118" s="6"/>
      <c r="P118" s="6"/>
      <c r="Q118" s="6"/>
      <c r="R118" s="1" t="s">
        <v>36</v>
      </c>
      <c r="S118" s="1" t="s">
        <v>207</v>
      </c>
      <c r="T118" s="1" t="s">
        <v>208</v>
      </c>
      <c r="U118" s="6" t="n">
        <v>2</v>
      </c>
      <c r="V118" s="1" t="s">
        <v>209</v>
      </c>
      <c r="X118" s="6" t="s">
        <v>40</v>
      </c>
      <c r="Y118" s="6" t="s">
        <v>204</v>
      </c>
      <c r="Z118" s="6" t="s">
        <v>80</v>
      </c>
      <c r="AA118" s="6" t="n">
        <v>14</v>
      </c>
      <c r="AC118" s="1" t="s">
        <v>42</v>
      </c>
    </row>
    <row r="119" customFormat="false" ht="15" hidden="false" customHeight="true" outlineLevel="0" collapsed="false">
      <c r="A119" s="6" t="s">
        <v>29</v>
      </c>
      <c r="B119" s="7" t="s">
        <v>153</v>
      </c>
      <c r="C119" s="8" t="s">
        <v>31</v>
      </c>
      <c r="D119" s="9" t="s">
        <v>103</v>
      </c>
      <c r="E119" s="8" t="s">
        <v>33</v>
      </c>
      <c r="F119" s="6" t="s">
        <v>33</v>
      </c>
      <c r="G119" s="6"/>
      <c r="H119" s="6" t="str">
        <f aca="false">IF(Table2[[#This Row],[Need Mark]]="Y",C119&amp;"-"&amp;D119&amp;"/"&amp;L119,"-")</f>
        <v>-</v>
      </c>
      <c r="I119" s="6" t="str">
        <f aca="false">IF(Table2[[#This Row],[Need Mark]]="Y",L119&amp;"/"&amp;C119&amp;"-"&amp;D119,"-")</f>
        <v>-</v>
      </c>
      <c r="J119" s="6"/>
      <c r="K119" s="6" t="s">
        <v>188</v>
      </c>
      <c r="L119" s="6" t="str">
        <f aca="false">A119&amp;"-"&amp;K119&amp;"-"&amp;Z119&amp;"("&amp;Table2[[#This Row],[Column5]]&amp;")"</f>
        <v>P4-TBSI4-M11(11)</v>
      </c>
      <c r="M119" s="6"/>
      <c r="N119" s="6"/>
      <c r="O119" s="6"/>
      <c r="P119" s="6"/>
      <c r="Q119" s="6"/>
      <c r="R119" s="1" t="s">
        <v>36</v>
      </c>
      <c r="S119" s="1" t="s">
        <v>210</v>
      </c>
      <c r="T119" s="1" t="s">
        <v>211</v>
      </c>
      <c r="U119" s="1" t="n">
        <v>1</v>
      </c>
      <c r="V119" s="1" t="s">
        <v>209</v>
      </c>
      <c r="X119" s="6" t="s">
        <v>40</v>
      </c>
      <c r="Y119" s="6" t="s">
        <v>204</v>
      </c>
      <c r="Z119" s="6" t="str">
        <f aca="false">Z120</f>
        <v>M11</v>
      </c>
      <c r="AA119" s="6" t="n">
        <v>11</v>
      </c>
      <c r="AC119" s="1" t="s">
        <v>42</v>
      </c>
    </row>
    <row r="120" customFormat="false" ht="15" hidden="false" customHeight="true" outlineLevel="0" collapsed="false">
      <c r="A120" s="6" t="s">
        <v>29</v>
      </c>
      <c r="B120" s="7" t="s">
        <v>153</v>
      </c>
      <c r="C120" s="8" t="s">
        <v>153</v>
      </c>
      <c r="D120" s="9" t="n">
        <v>29</v>
      </c>
      <c r="E120" s="8" t="s">
        <v>43</v>
      </c>
      <c r="F120" s="6" t="s">
        <v>137</v>
      </c>
      <c r="G120" s="6" t="s">
        <v>34</v>
      </c>
      <c r="H120" s="6" t="str">
        <f aca="false">IF(Table2[[#This Row],[Need Mark]]="Y",C120&amp;"-"&amp;D120&amp;"/"&amp;L120,"-")</f>
        <v>C4S2-29/P4-TBSI4-M11(14)</v>
      </c>
      <c r="I120" s="6" t="str">
        <f aca="false">IF(Table2[[#This Row],[Need Mark]]="Y",L120&amp;"/"&amp;C120&amp;"-"&amp;D120,"-")</f>
        <v>P4-TBSI4-M11(14)/C4S2-29</v>
      </c>
      <c r="J120" s="6"/>
      <c r="K120" s="6" t="s">
        <v>188</v>
      </c>
      <c r="L120" s="6" t="str">
        <f aca="false">A120&amp;"-"&amp;K120&amp;"-"&amp;Z120&amp;"("&amp;Table2[[#This Row],[Column5]]&amp;")"</f>
        <v>P4-TBSI4-M11(14)</v>
      </c>
      <c r="M120" s="6"/>
      <c r="N120" s="6"/>
      <c r="O120" s="6"/>
      <c r="P120" s="6"/>
      <c r="Q120" s="6"/>
      <c r="R120" s="1" t="s">
        <v>36</v>
      </c>
      <c r="S120" s="1" t="s">
        <v>210</v>
      </c>
      <c r="T120" s="1" t="s">
        <v>211</v>
      </c>
      <c r="U120" s="6" t="n">
        <v>2</v>
      </c>
      <c r="V120" s="1" t="s">
        <v>209</v>
      </c>
      <c r="X120" s="6" t="s">
        <v>40</v>
      </c>
      <c r="Y120" s="6" t="s">
        <v>204</v>
      </c>
      <c r="Z120" s="6" t="s">
        <v>84</v>
      </c>
      <c r="AA120" s="6" t="n">
        <v>14</v>
      </c>
      <c r="AC120" s="1" t="s">
        <v>42</v>
      </c>
    </row>
    <row r="121" customFormat="false" ht="15" hidden="false" customHeight="true" outlineLevel="0" collapsed="false">
      <c r="A121" s="6" t="s">
        <v>29</v>
      </c>
      <c r="B121" s="7" t="s">
        <v>153</v>
      </c>
      <c r="C121" s="8" t="s">
        <v>31</v>
      </c>
      <c r="D121" s="9" t="s">
        <v>103</v>
      </c>
      <c r="E121" s="8" t="s">
        <v>33</v>
      </c>
      <c r="F121" s="6" t="s">
        <v>33</v>
      </c>
      <c r="G121" s="6"/>
      <c r="H121" s="6" t="str">
        <f aca="false">IF(Table2[[#This Row],[Need Mark]]="Y",C121&amp;"-"&amp;D121&amp;"/"&amp;L121,"-")</f>
        <v>-</v>
      </c>
      <c r="I121" s="6" t="str">
        <f aca="false">IF(Table2[[#This Row],[Need Mark]]="Y",L121&amp;"/"&amp;C121&amp;"-"&amp;D121,"-")</f>
        <v>-</v>
      </c>
      <c r="J121" s="6"/>
      <c r="K121" s="6" t="s">
        <v>188</v>
      </c>
      <c r="L121" s="6" t="str">
        <f aca="false">A121&amp;"-"&amp;K121&amp;"-"&amp;Z121&amp;"("&amp;Table2[[#This Row],[Column5]]&amp;")"</f>
        <v>P4-TBSI4-M12(11)</v>
      </c>
      <c r="M121" s="6"/>
      <c r="N121" s="6"/>
      <c r="O121" s="6"/>
      <c r="P121" s="6"/>
      <c r="Q121" s="6"/>
      <c r="R121" s="11" t="s">
        <v>36</v>
      </c>
      <c r="S121" s="11" t="s">
        <v>212</v>
      </c>
      <c r="T121" s="11" t="s">
        <v>213</v>
      </c>
      <c r="U121" s="1" t="n">
        <v>1</v>
      </c>
      <c r="V121" s="11" t="s">
        <v>209</v>
      </c>
      <c r="X121" s="6" t="s">
        <v>40</v>
      </c>
      <c r="Y121" s="6" t="s">
        <v>204</v>
      </c>
      <c r="Z121" s="6" t="str">
        <f aca="false">Z122</f>
        <v>M12</v>
      </c>
      <c r="AA121" s="6" t="n">
        <v>11</v>
      </c>
      <c r="AB121" s="11"/>
      <c r="AC121" s="11" t="s">
        <v>42</v>
      </c>
    </row>
    <row r="122" customFormat="false" ht="15" hidden="false" customHeight="true" outlineLevel="0" collapsed="false">
      <c r="A122" s="6" t="s">
        <v>29</v>
      </c>
      <c r="B122" s="7" t="s">
        <v>153</v>
      </c>
      <c r="C122" s="8" t="s">
        <v>153</v>
      </c>
      <c r="D122" s="9" t="n">
        <v>30</v>
      </c>
      <c r="E122" s="8" t="s">
        <v>43</v>
      </c>
      <c r="F122" s="6" t="s">
        <v>140</v>
      </c>
      <c r="G122" s="6" t="s">
        <v>34</v>
      </c>
      <c r="H122" s="6" t="str">
        <f aca="false">IF(Table2[[#This Row],[Need Mark]]="Y",C122&amp;"-"&amp;D122&amp;"/"&amp;L122,"-")</f>
        <v>C4S2-30/P4-TBSI4-M12(14)</v>
      </c>
      <c r="I122" s="6" t="str">
        <f aca="false">IF(Table2[[#This Row],[Need Mark]]="Y",L122&amp;"/"&amp;C122&amp;"-"&amp;D122,"-")</f>
        <v>P4-TBSI4-M12(14)/C4S2-30</v>
      </c>
      <c r="J122" s="6"/>
      <c r="K122" s="6" t="s">
        <v>188</v>
      </c>
      <c r="L122" s="6" t="str">
        <f aca="false">A122&amp;"-"&amp;K122&amp;"-"&amp;Z122&amp;"("&amp;Table2[[#This Row],[Column5]]&amp;")"</f>
        <v>P4-TBSI4-M12(14)</v>
      </c>
      <c r="M122" s="6"/>
      <c r="N122" s="6"/>
      <c r="O122" s="6"/>
      <c r="P122" s="6"/>
      <c r="Q122" s="6"/>
      <c r="R122" s="11" t="s">
        <v>36</v>
      </c>
      <c r="S122" s="11" t="s">
        <v>212</v>
      </c>
      <c r="T122" s="11" t="s">
        <v>213</v>
      </c>
      <c r="U122" s="6" t="n">
        <v>2</v>
      </c>
      <c r="V122" s="11" t="s">
        <v>209</v>
      </c>
      <c r="X122" s="6" t="s">
        <v>40</v>
      </c>
      <c r="Y122" s="6" t="s">
        <v>204</v>
      </c>
      <c r="Z122" s="6" t="s">
        <v>88</v>
      </c>
      <c r="AA122" s="6" t="n">
        <v>14</v>
      </c>
      <c r="AB122" s="11"/>
      <c r="AC122" s="11" t="s">
        <v>42</v>
      </c>
    </row>
    <row r="123" customFormat="false" ht="15" hidden="false" customHeight="true" outlineLevel="0" collapsed="false">
      <c r="A123" s="6" t="s">
        <v>29</v>
      </c>
      <c r="B123" s="7" t="s">
        <v>153</v>
      </c>
      <c r="C123" s="8" t="s">
        <v>31</v>
      </c>
      <c r="D123" s="9" t="s">
        <v>103</v>
      </c>
      <c r="E123" s="8" t="s">
        <v>33</v>
      </c>
      <c r="F123" s="6" t="s">
        <v>33</v>
      </c>
      <c r="G123" s="6"/>
      <c r="H123" s="6" t="str">
        <f aca="false">IF(Table2[[#This Row],[Need Mark]]="Y",C123&amp;"-"&amp;D123&amp;"/"&amp;L123,"-")</f>
        <v>-</v>
      </c>
      <c r="I123" s="6" t="str">
        <f aca="false">IF(Table2[[#This Row],[Need Mark]]="Y",L123&amp;"/"&amp;C123&amp;"-"&amp;D123,"-")</f>
        <v>-</v>
      </c>
      <c r="J123" s="6"/>
      <c r="K123" s="6" t="s">
        <v>188</v>
      </c>
      <c r="L123" s="6" t="str">
        <f aca="false">A123&amp;"-"&amp;K123&amp;"-"&amp;Z123&amp;"("&amp;Table2[[#This Row],[Column5]]&amp;")"</f>
        <v>P4-TBSI4-M13(11)</v>
      </c>
      <c r="M123" s="6"/>
      <c r="N123" s="6"/>
      <c r="O123" s="6"/>
      <c r="P123" s="6"/>
      <c r="Q123" s="6"/>
      <c r="R123" s="11" t="s">
        <v>36</v>
      </c>
      <c r="S123" s="11" t="s">
        <v>214</v>
      </c>
      <c r="T123" s="11" t="s">
        <v>215</v>
      </c>
      <c r="U123" s="1" t="n">
        <v>1</v>
      </c>
      <c r="V123" s="11" t="s">
        <v>209</v>
      </c>
      <c r="X123" s="6" t="s">
        <v>40</v>
      </c>
      <c r="Y123" s="6" t="s">
        <v>204</v>
      </c>
      <c r="Z123" s="6" t="str">
        <f aca="false">Z124</f>
        <v>M13</v>
      </c>
      <c r="AA123" s="6" t="n">
        <v>11</v>
      </c>
      <c r="AB123" s="11"/>
      <c r="AC123" s="11" t="s">
        <v>42</v>
      </c>
    </row>
    <row r="124" customFormat="false" ht="15" hidden="false" customHeight="true" outlineLevel="0" collapsed="false">
      <c r="A124" s="6" t="s">
        <v>29</v>
      </c>
      <c r="B124" s="7" t="s">
        <v>153</v>
      </c>
      <c r="C124" s="8" t="s">
        <v>153</v>
      </c>
      <c r="D124" s="9" t="n">
        <v>31</v>
      </c>
      <c r="E124" s="8" t="s">
        <v>43</v>
      </c>
      <c r="F124" s="6" t="s">
        <v>143</v>
      </c>
      <c r="G124" s="6" t="s">
        <v>34</v>
      </c>
      <c r="H124" s="6" t="str">
        <f aca="false">IF(Table2[[#This Row],[Need Mark]]="Y",C124&amp;"-"&amp;D124&amp;"/"&amp;L124,"-")</f>
        <v>C4S2-31/P4-TBSI4-M13(14)</v>
      </c>
      <c r="I124" s="6" t="str">
        <f aca="false">IF(Table2[[#This Row],[Need Mark]]="Y",L124&amp;"/"&amp;C124&amp;"-"&amp;D124,"-")</f>
        <v>P4-TBSI4-M13(14)/C4S2-31</v>
      </c>
      <c r="J124" s="6"/>
      <c r="K124" s="6" t="s">
        <v>188</v>
      </c>
      <c r="L124" s="6" t="str">
        <f aca="false">A124&amp;"-"&amp;K124&amp;"-"&amp;Z124&amp;"("&amp;Table2[[#This Row],[Column5]]&amp;")"</f>
        <v>P4-TBSI4-M13(14)</v>
      </c>
      <c r="M124" s="6"/>
      <c r="N124" s="6"/>
      <c r="O124" s="6"/>
      <c r="P124" s="6"/>
      <c r="Q124" s="6"/>
      <c r="R124" s="11" t="s">
        <v>36</v>
      </c>
      <c r="S124" s="11" t="s">
        <v>214</v>
      </c>
      <c r="T124" s="11" t="s">
        <v>215</v>
      </c>
      <c r="U124" s="6" t="n">
        <v>2</v>
      </c>
      <c r="V124" s="11" t="s">
        <v>209</v>
      </c>
      <c r="X124" s="6" t="s">
        <v>40</v>
      </c>
      <c r="Y124" s="6" t="s">
        <v>204</v>
      </c>
      <c r="Z124" s="6" t="s">
        <v>92</v>
      </c>
      <c r="AA124" s="6" t="n">
        <v>14</v>
      </c>
      <c r="AB124" s="11"/>
      <c r="AC124" s="11" t="s">
        <v>42</v>
      </c>
    </row>
    <row r="125" customFormat="false" ht="15" hidden="false" customHeight="true" outlineLevel="0" collapsed="false">
      <c r="A125" s="6" t="s">
        <v>29</v>
      </c>
      <c r="B125" s="7" t="s">
        <v>153</v>
      </c>
      <c r="C125" s="8" t="s">
        <v>31</v>
      </c>
      <c r="D125" s="9" t="s">
        <v>103</v>
      </c>
      <c r="E125" s="8" t="s">
        <v>33</v>
      </c>
      <c r="F125" s="6" t="s">
        <v>33</v>
      </c>
      <c r="G125" s="6"/>
      <c r="H125" s="6" t="str">
        <f aca="false">IF(Table2[[#This Row],[Need Mark]]="Y",C125&amp;"-"&amp;D125&amp;"/"&amp;L125,"-")</f>
        <v>-</v>
      </c>
      <c r="I125" s="6" t="str">
        <f aca="false">IF(Table2[[#This Row],[Need Mark]]="Y",L125&amp;"/"&amp;C125&amp;"-"&amp;D125,"-")</f>
        <v>-</v>
      </c>
      <c r="J125" s="6"/>
      <c r="K125" s="6" t="s">
        <v>188</v>
      </c>
      <c r="L125" s="6" t="str">
        <f aca="false">A125&amp;"-"&amp;K125&amp;"-"&amp;Z125&amp;"("&amp;Table2[[#This Row],[Column5]]&amp;")"</f>
        <v>P4-TBSI4-M14(11)</v>
      </c>
      <c r="M125" s="6"/>
      <c r="N125" s="6"/>
      <c r="O125" s="6"/>
      <c r="P125" s="6"/>
      <c r="Q125" s="6"/>
      <c r="R125" s="11" t="s">
        <v>36</v>
      </c>
      <c r="S125" s="11" t="s">
        <v>216</v>
      </c>
      <c r="T125" s="11" t="s">
        <v>217</v>
      </c>
      <c r="U125" s="1" t="n">
        <v>1</v>
      </c>
      <c r="V125" s="11" t="s">
        <v>209</v>
      </c>
      <c r="X125" s="6" t="s">
        <v>40</v>
      </c>
      <c r="Y125" s="6" t="s">
        <v>204</v>
      </c>
      <c r="Z125" s="6" t="str">
        <f aca="false">Z126</f>
        <v>M14</v>
      </c>
      <c r="AA125" s="6" t="n">
        <v>11</v>
      </c>
      <c r="AB125" s="11"/>
      <c r="AC125" s="11" t="s">
        <v>42</v>
      </c>
    </row>
    <row r="126" customFormat="false" ht="15" hidden="false" customHeight="true" outlineLevel="0" collapsed="false">
      <c r="A126" s="6" t="s">
        <v>29</v>
      </c>
      <c r="B126" s="7" t="s">
        <v>153</v>
      </c>
      <c r="C126" s="8" t="s">
        <v>153</v>
      </c>
      <c r="D126" s="9" t="n">
        <v>32</v>
      </c>
      <c r="E126" s="8" t="s">
        <v>43</v>
      </c>
      <c r="F126" s="6" t="s">
        <v>146</v>
      </c>
      <c r="G126" s="6" t="s">
        <v>34</v>
      </c>
      <c r="H126" s="6" t="str">
        <f aca="false">IF(Table2[[#This Row],[Need Mark]]="Y",C126&amp;"-"&amp;D126&amp;"/"&amp;L126,"-")</f>
        <v>C4S2-32/P4-TBSI4-M14(14)</v>
      </c>
      <c r="I126" s="6" t="str">
        <f aca="false">IF(Table2[[#This Row],[Need Mark]]="Y",L126&amp;"/"&amp;C126&amp;"-"&amp;D126,"-")</f>
        <v>P4-TBSI4-M14(14)/C4S2-32</v>
      </c>
      <c r="J126" s="6"/>
      <c r="K126" s="6" t="s">
        <v>188</v>
      </c>
      <c r="L126" s="6" t="str">
        <f aca="false">A126&amp;"-"&amp;K126&amp;"-"&amp;Z126&amp;"("&amp;Table2[[#This Row],[Column5]]&amp;")"</f>
        <v>P4-TBSI4-M14(14)</v>
      </c>
      <c r="M126" s="6"/>
      <c r="N126" s="6"/>
      <c r="O126" s="6"/>
      <c r="P126" s="6"/>
      <c r="Q126" s="6"/>
      <c r="R126" s="11" t="s">
        <v>36</v>
      </c>
      <c r="S126" s="11" t="s">
        <v>216</v>
      </c>
      <c r="T126" s="11" t="s">
        <v>217</v>
      </c>
      <c r="U126" s="6" t="n">
        <v>2</v>
      </c>
      <c r="V126" s="11" t="s">
        <v>209</v>
      </c>
      <c r="X126" s="6" t="s">
        <v>40</v>
      </c>
      <c r="Y126" s="6" t="s">
        <v>204</v>
      </c>
      <c r="Z126" s="6" t="s">
        <v>96</v>
      </c>
      <c r="AA126" s="6" t="n">
        <v>14</v>
      </c>
      <c r="AB126" s="11"/>
      <c r="AC126" s="11" t="s">
        <v>42</v>
      </c>
    </row>
    <row r="127" customFormat="false" ht="15" hidden="false" customHeight="true" outlineLevel="0" collapsed="false">
      <c r="A127" s="6" t="s">
        <v>29</v>
      </c>
      <c r="B127" s="7" t="s">
        <v>153</v>
      </c>
      <c r="C127" s="8" t="s">
        <v>31</v>
      </c>
      <c r="D127" s="9" t="s">
        <v>103</v>
      </c>
      <c r="E127" s="8" t="s">
        <v>33</v>
      </c>
      <c r="F127" s="6" t="s">
        <v>33</v>
      </c>
      <c r="G127" s="6"/>
      <c r="H127" s="6" t="str">
        <f aca="false">IF(Table2[[#This Row],[Need Mark]]="Y",C127&amp;"-"&amp;D127&amp;"/"&amp;L127,"-")</f>
        <v>-</v>
      </c>
      <c r="I127" s="6" t="str">
        <f aca="false">IF(Table2[[#This Row],[Need Mark]]="Y",L127&amp;"/"&amp;C127&amp;"-"&amp;D127,"-")</f>
        <v>-</v>
      </c>
      <c r="J127" s="6"/>
      <c r="K127" s="6" t="s">
        <v>188</v>
      </c>
      <c r="L127" s="6" t="str">
        <f aca="false">A127&amp;"-"&amp;K127&amp;"-"&amp;Z127&amp;"("&amp;Table2[[#This Row],[Column5]]&amp;")"</f>
        <v>P4-TBSI4-M15(11)</v>
      </c>
      <c r="M127" s="6"/>
      <c r="N127" s="6"/>
      <c r="O127" s="6"/>
      <c r="P127" s="6"/>
      <c r="Q127" s="6"/>
      <c r="R127" s="11" t="s">
        <v>128</v>
      </c>
      <c r="S127" s="11" t="s">
        <v>218</v>
      </c>
      <c r="T127" s="11" t="s">
        <v>219</v>
      </c>
      <c r="U127" s="1" t="n">
        <v>1</v>
      </c>
      <c r="V127" s="11" t="s">
        <v>220</v>
      </c>
      <c r="X127" s="6" t="s">
        <v>40</v>
      </c>
      <c r="Y127" s="6" t="s">
        <v>221</v>
      </c>
      <c r="Z127" s="6" t="str">
        <f aca="false">Z128</f>
        <v>M15</v>
      </c>
      <c r="AA127" s="6" t="n">
        <v>11</v>
      </c>
      <c r="AB127" s="11"/>
      <c r="AC127" s="11" t="s">
        <v>42</v>
      </c>
    </row>
    <row r="128" customFormat="false" ht="15" hidden="false" customHeight="true" outlineLevel="0" collapsed="false">
      <c r="A128" s="6" t="s">
        <v>29</v>
      </c>
      <c r="B128" s="7" t="s">
        <v>153</v>
      </c>
      <c r="C128" s="8" t="s">
        <v>153</v>
      </c>
      <c r="D128" s="9" t="n">
        <v>33</v>
      </c>
      <c r="E128" s="8" t="s">
        <v>43</v>
      </c>
      <c r="F128" s="6" t="s">
        <v>149</v>
      </c>
      <c r="G128" s="6" t="s">
        <v>34</v>
      </c>
      <c r="H128" s="6" t="str">
        <f aca="false">IF(Table2[[#This Row],[Need Mark]]="Y",C128&amp;"-"&amp;D128&amp;"/"&amp;L128,"-")</f>
        <v>C4S2-33/P4-TBSI4-M15(14)</v>
      </c>
      <c r="I128" s="6" t="str">
        <f aca="false">IF(Table2[[#This Row],[Need Mark]]="Y",L128&amp;"/"&amp;C128&amp;"-"&amp;D128,"-")</f>
        <v>P4-TBSI4-M15(14)/C4S2-33</v>
      </c>
      <c r="J128" s="6"/>
      <c r="K128" s="6" t="s">
        <v>188</v>
      </c>
      <c r="L128" s="6" t="str">
        <f aca="false">A128&amp;"-"&amp;K128&amp;"-"&amp;Z128&amp;"("&amp;Table2[[#This Row],[Column5]]&amp;")"</f>
        <v>P4-TBSI4-M15(14)</v>
      </c>
      <c r="M128" s="6"/>
      <c r="N128" s="6"/>
      <c r="O128" s="6"/>
      <c r="P128" s="6"/>
      <c r="Q128" s="6"/>
      <c r="R128" s="11" t="s">
        <v>128</v>
      </c>
      <c r="S128" s="11" t="s">
        <v>218</v>
      </c>
      <c r="T128" s="11" t="s">
        <v>219</v>
      </c>
      <c r="U128" s="6" t="n">
        <v>2</v>
      </c>
      <c r="V128" s="11" t="s">
        <v>220</v>
      </c>
      <c r="X128" s="6" t="s">
        <v>40</v>
      </c>
      <c r="Y128" s="6" t="s">
        <v>204</v>
      </c>
      <c r="Z128" s="6" t="s">
        <v>100</v>
      </c>
      <c r="AA128" s="6" t="n">
        <v>14</v>
      </c>
      <c r="AB128" s="11"/>
      <c r="AC128" s="11" t="s">
        <v>42</v>
      </c>
    </row>
    <row r="129" customFormat="false" ht="15" hidden="false" customHeight="true" outlineLevel="0" collapsed="false">
      <c r="A129" s="6" t="s">
        <v>29</v>
      </c>
      <c r="B129" s="7" t="s">
        <v>153</v>
      </c>
      <c r="C129" s="8" t="s">
        <v>31</v>
      </c>
      <c r="D129" s="9" t="s">
        <v>103</v>
      </c>
      <c r="E129" s="8" t="s">
        <v>33</v>
      </c>
      <c r="F129" s="6" t="s">
        <v>33</v>
      </c>
      <c r="G129" s="6"/>
      <c r="H129" s="6" t="str">
        <f aca="false">IF(Table2[[#This Row],[Need Mark]]="Y",C129&amp;"-"&amp;D129&amp;"/"&amp;L129,"-")</f>
        <v>-</v>
      </c>
      <c r="I129" s="6" t="str">
        <f aca="false">IF(Table2[[#This Row],[Need Mark]]="Y",L129&amp;"/"&amp;C129&amp;"-"&amp;D129,"-")</f>
        <v>-</v>
      </c>
      <c r="J129" s="6"/>
      <c r="K129" s="6" t="s">
        <v>188</v>
      </c>
      <c r="L129" s="6" t="str">
        <f aca="false">A129&amp;"-"&amp;K129&amp;"-"&amp;Z129&amp;"("&amp;Table2[[#This Row],[Column5]]&amp;")"</f>
        <v>P4-TBSI4-M16(11)</v>
      </c>
      <c r="M129" s="6"/>
      <c r="N129" s="6"/>
      <c r="O129" s="6"/>
      <c r="P129" s="6"/>
      <c r="Q129" s="6"/>
      <c r="R129" s="11" t="s">
        <v>128</v>
      </c>
      <c r="S129" s="11" t="s">
        <v>222</v>
      </c>
      <c r="T129" s="11" t="s">
        <v>223</v>
      </c>
      <c r="U129" s="1" t="n">
        <v>1</v>
      </c>
      <c r="V129" s="11" t="s">
        <v>224</v>
      </c>
      <c r="X129" s="6" t="s">
        <v>40</v>
      </c>
      <c r="Y129" s="6" t="s">
        <v>204</v>
      </c>
      <c r="Z129" s="6" t="str">
        <f aca="false">Z130</f>
        <v>M16</v>
      </c>
      <c r="AA129" s="6" t="n">
        <v>11</v>
      </c>
      <c r="AB129" s="11"/>
      <c r="AC129" s="11" t="s">
        <v>42</v>
      </c>
    </row>
    <row r="130" customFormat="false" ht="15" hidden="false" customHeight="true" outlineLevel="0" collapsed="false">
      <c r="A130" s="6" t="s">
        <v>29</v>
      </c>
      <c r="B130" s="7" t="s">
        <v>153</v>
      </c>
      <c r="C130" s="8" t="s">
        <v>153</v>
      </c>
      <c r="D130" s="9" t="n">
        <v>34</v>
      </c>
      <c r="E130" s="8" t="s">
        <v>43</v>
      </c>
      <c r="F130" s="6" t="s">
        <v>152</v>
      </c>
      <c r="G130" s="6" t="s">
        <v>34</v>
      </c>
      <c r="H130" s="6" t="str">
        <f aca="false">IF(Table2[[#This Row],[Need Mark]]="Y",C130&amp;"-"&amp;D130&amp;"/"&amp;L130,"-")</f>
        <v>C4S2-34/P4-TBSI4-M16(14)</v>
      </c>
      <c r="I130" s="6" t="str">
        <f aca="false">IF(Table2[[#This Row],[Need Mark]]="Y",L130&amp;"/"&amp;C130&amp;"-"&amp;D130,"-")</f>
        <v>P4-TBSI4-M16(14)/C4S2-34</v>
      </c>
      <c r="J130" s="6"/>
      <c r="K130" s="6" t="s">
        <v>188</v>
      </c>
      <c r="L130" s="6" t="str">
        <f aca="false">A130&amp;"-"&amp;K130&amp;"-"&amp;Z130&amp;"("&amp;Table2[[#This Row],[Column5]]&amp;")"</f>
        <v>P4-TBSI4-M16(14)</v>
      </c>
      <c r="M130" s="6"/>
      <c r="N130" s="6"/>
      <c r="O130" s="6"/>
      <c r="P130" s="6"/>
      <c r="Q130" s="6"/>
      <c r="R130" s="11" t="s">
        <v>128</v>
      </c>
      <c r="S130" s="11" t="s">
        <v>222</v>
      </c>
      <c r="T130" s="11" t="s">
        <v>223</v>
      </c>
      <c r="U130" s="6" t="n">
        <v>2</v>
      </c>
      <c r="V130" s="11" t="s">
        <v>224</v>
      </c>
      <c r="X130" s="6" t="s">
        <v>40</v>
      </c>
      <c r="Y130" s="6" t="s">
        <v>204</v>
      </c>
      <c r="Z130" s="6" t="s">
        <v>102</v>
      </c>
      <c r="AA130" s="6" t="n">
        <v>14</v>
      </c>
      <c r="AB130" s="11"/>
      <c r="AC130" s="11" t="s">
        <v>42</v>
      </c>
    </row>
    <row r="131" customFormat="false" ht="15" hidden="false" customHeight="true" outlineLevel="0" collapsed="false">
      <c r="A131" s="6" t="s">
        <v>29</v>
      </c>
      <c r="B131" s="7" t="s">
        <v>153</v>
      </c>
      <c r="C131" s="8" t="s">
        <v>31</v>
      </c>
      <c r="D131" s="9" t="s">
        <v>103</v>
      </c>
      <c r="E131" s="8" t="s">
        <v>33</v>
      </c>
      <c r="F131" s="6" t="s">
        <v>33</v>
      </c>
      <c r="G131" s="6" t="s">
        <v>34</v>
      </c>
      <c r="H131" s="6" t="str">
        <f aca="false">IF(Table2[[#This Row],[Need Mark]]="Y",C131&amp;"-"&amp;D131&amp;"/"&amp;L131,"-")</f>
        <v>TB-24VDC-2(2)/P4-TBSI5-M1(11)</v>
      </c>
      <c r="I131" s="6" t="str">
        <f aca="false">IF(Table2[[#This Row],[Need Mark]]="Y",L131&amp;"/"&amp;C131&amp;"-"&amp;D131,"-")</f>
        <v>P4-TBSI5-M1(11)/TB-24VDC-2(2)</v>
      </c>
      <c r="J131" s="6"/>
      <c r="K131" s="6" t="s">
        <v>225</v>
      </c>
      <c r="L131" s="6" t="str">
        <f aca="false">A131&amp;"-"&amp;K131&amp;"-"&amp;Z131&amp;"("&amp;Table2[[#This Row],[Column5]]&amp;")"</f>
        <v>P4-TBSI5-M1(11)</v>
      </c>
      <c r="M131" s="6"/>
      <c r="N131" s="6"/>
      <c r="O131" s="6"/>
      <c r="P131" s="6"/>
      <c r="Q131" s="6"/>
      <c r="R131" s="11" t="s">
        <v>105</v>
      </c>
      <c r="S131" s="11" t="s">
        <v>226</v>
      </c>
      <c r="T131" s="11" t="s">
        <v>227</v>
      </c>
      <c r="U131" s="1" t="n">
        <v>1</v>
      </c>
      <c r="V131" s="11" t="s">
        <v>203</v>
      </c>
      <c r="X131" s="6" t="s">
        <v>40</v>
      </c>
      <c r="Y131" s="6" t="s">
        <v>204</v>
      </c>
      <c r="Z131" s="6" t="str">
        <f aca="false">Z132</f>
        <v>M1</v>
      </c>
      <c r="AA131" s="6" t="n">
        <v>11</v>
      </c>
      <c r="AB131" s="11"/>
      <c r="AC131" s="11" t="s">
        <v>42</v>
      </c>
    </row>
    <row r="132" customFormat="false" ht="15" hidden="false" customHeight="true" outlineLevel="0" collapsed="false">
      <c r="A132" s="6" t="s">
        <v>29</v>
      </c>
      <c r="B132" s="7" t="s">
        <v>153</v>
      </c>
      <c r="C132" s="8" t="s">
        <v>153</v>
      </c>
      <c r="D132" s="9" t="n">
        <v>19</v>
      </c>
      <c r="E132" s="8" t="s">
        <v>43</v>
      </c>
      <c r="F132" s="8" t="s">
        <v>108</v>
      </c>
      <c r="G132" s="6" t="s">
        <v>34</v>
      </c>
      <c r="H132" s="6" t="str">
        <f aca="false">IF(Table2[[#This Row],[Need Mark]]="Y",C132&amp;"-"&amp;D132&amp;"/"&amp;L132,"-")</f>
        <v>C4S2-19/P4-TBSI5-M1(14)</v>
      </c>
      <c r="I132" s="6" t="str">
        <f aca="false">IF(Table2[[#This Row],[Need Mark]]="Y",L132&amp;"/"&amp;C132&amp;"-"&amp;D132,"-")</f>
        <v>P4-TBSI5-M1(14)/C4S2-19</v>
      </c>
      <c r="J132" s="6"/>
      <c r="K132" s="6" t="s">
        <v>225</v>
      </c>
      <c r="L132" s="6" t="str">
        <f aca="false">A132&amp;"-"&amp;K132&amp;"-"&amp;Z132&amp;"("&amp;Table2[[#This Row],[Column5]]&amp;")"</f>
        <v>P4-TBSI5-M1(14)</v>
      </c>
      <c r="M132" s="6"/>
      <c r="N132" s="6"/>
      <c r="O132" s="6"/>
      <c r="P132" s="6"/>
      <c r="Q132" s="6"/>
      <c r="R132" s="11" t="s">
        <v>105</v>
      </c>
      <c r="S132" s="11" t="s">
        <v>226</v>
      </c>
      <c r="T132" s="11" t="s">
        <v>227</v>
      </c>
      <c r="U132" s="6" t="n">
        <v>2</v>
      </c>
      <c r="V132" s="11" t="s">
        <v>203</v>
      </c>
      <c r="X132" s="6" t="s">
        <v>40</v>
      </c>
      <c r="Y132" s="6" t="s">
        <v>204</v>
      </c>
      <c r="Z132" s="6" t="s">
        <v>45</v>
      </c>
      <c r="AA132" s="6" t="n">
        <v>14</v>
      </c>
      <c r="AB132" s="11"/>
      <c r="AC132" s="11" t="s">
        <v>42</v>
      </c>
    </row>
    <row r="133" customFormat="false" ht="15" hidden="false" customHeight="true" outlineLevel="0" collapsed="false">
      <c r="A133" s="6" t="s">
        <v>29</v>
      </c>
      <c r="B133" s="7" t="s">
        <v>153</v>
      </c>
      <c r="C133" s="8" t="s">
        <v>31</v>
      </c>
      <c r="D133" s="9" t="s">
        <v>103</v>
      </c>
      <c r="E133" s="8" t="s">
        <v>33</v>
      </c>
      <c r="F133" s="6" t="s">
        <v>33</v>
      </c>
      <c r="G133" s="6"/>
      <c r="H133" s="6" t="str">
        <f aca="false">IF(Table2[[#This Row],[Need Mark]]="Y",C133&amp;"-"&amp;D133&amp;"/"&amp;L133,"-")</f>
        <v>-</v>
      </c>
      <c r="I133" s="6" t="str">
        <f aca="false">IF(Table2[[#This Row],[Need Mark]]="Y",L133&amp;"/"&amp;C133&amp;"-"&amp;D133,"-")</f>
        <v>-</v>
      </c>
      <c r="J133" s="6"/>
      <c r="K133" s="6" t="s">
        <v>225</v>
      </c>
      <c r="L133" s="6" t="str">
        <f aca="false">A133&amp;"-"&amp;K133&amp;"-"&amp;Z133&amp;"("&amp;Table2[[#This Row],[Column5]]&amp;")"</f>
        <v>P4-TBSI5-M2(11)</v>
      </c>
      <c r="M133" s="6"/>
      <c r="N133" s="6"/>
      <c r="O133" s="6"/>
      <c r="P133" s="6"/>
      <c r="Q133" s="6"/>
      <c r="R133" s="11" t="s">
        <v>105</v>
      </c>
      <c r="S133" s="11" t="s">
        <v>228</v>
      </c>
      <c r="T133" s="11" t="s">
        <v>229</v>
      </c>
      <c r="U133" s="1" t="n">
        <v>1</v>
      </c>
      <c r="V133" s="11" t="s">
        <v>209</v>
      </c>
      <c r="X133" s="6" t="s">
        <v>40</v>
      </c>
      <c r="Y133" s="6" t="s">
        <v>204</v>
      </c>
      <c r="Z133" s="6" t="str">
        <f aca="false">Z134</f>
        <v>M2</v>
      </c>
      <c r="AA133" s="6" t="n">
        <v>11</v>
      </c>
      <c r="AB133" s="11"/>
      <c r="AC133" s="11" t="s">
        <v>42</v>
      </c>
    </row>
    <row r="134" customFormat="false" ht="15" hidden="false" customHeight="true" outlineLevel="0" collapsed="false">
      <c r="A134" s="6" t="s">
        <v>29</v>
      </c>
      <c r="B134" s="7" t="s">
        <v>153</v>
      </c>
      <c r="C134" s="8" t="s">
        <v>153</v>
      </c>
      <c r="D134" s="9" t="n">
        <v>20</v>
      </c>
      <c r="E134" s="8" t="s">
        <v>43</v>
      </c>
      <c r="F134" s="8" t="s">
        <v>109</v>
      </c>
      <c r="G134" s="6" t="s">
        <v>34</v>
      </c>
      <c r="H134" s="6" t="str">
        <f aca="false">IF(Table2[[#This Row],[Need Mark]]="Y",C134&amp;"-"&amp;D134&amp;"/"&amp;L134,"-")</f>
        <v>C4S2-20/P4-TBSI5-M2(14)</v>
      </c>
      <c r="I134" s="6" t="str">
        <f aca="false">IF(Table2[[#This Row],[Need Mark]]="Y",L134&amp;"/"&amp;C134&amp;"-"&amp;D134,"-")</f>
        <v>P4-TBSI5-M2(14)/C4S2-20</v>
      </c>
      <c r="J134" s="6"/>
      <c r="K134" s="6" t="s">
        <v>225</v>
      </c>
      <c r="L134" s="6" t="str">
        <f aca="false">A134&amp;"-"&amp;K134&amp;"-"&amp;Z134&amp;"("&amp;Table2[[#This Row],[Column5]]&amp;")"</f>
        <v>P4-TBSI5-M2(14)</v>
      </c>
      <c r="M134" s="6"/>
      <c r="N134" s="6"/>
      <c r="O134" s="6"/>
      <c r="P134" s="6"/>
      <c r="Q134" s="6"/>
      <c r="R134" s="11" t="s">
        <v>105</v>
      </c>
      <c r="S134" s="11" t="s">
        <v>228</v>
      </c>
      <c r="T134" s="11" t="s">
        <v>229</v>
      </c>
      <c r="U134" s="6" t="n">
        <v>2</v>
      </c>
      <c r="V134" s="11" t="s">
        <v>209</v>
      </c>
      <c r="X134" s="6" t="s">
        <v>40</v>
      </c>
      <c r="Y134" s="6" t="s">
        <v>204</v>
      </c>
      <c r="Z134" s="6" t="s">
        <v>49</v>
      </c>
      <c r="AA134" s="6" t="n">
        <v>14</v>
      </c>
      <c r="AB134" s="11"/>
      <c r="AC134" s="11" t="s">
        <v>42</v>
      </c>
    </row>
    <row r="135" customFormat="false" ht="15" hidden="false" customHeight="true" outlineLevel="0" collapsed="false">
      <c r="A135" s="6" t="s">
        <v>29</v>
      </c>
      <c r="B135" s="7" t="s">
        <v>153</v>
      </c>
      <c r="C135" s="8" t="s">
        <v>31</v>
      </c>
      <c r="D135" s="9" t="s">
        <v>103</v>
      </c>
      <c r="E135" s="8" t="s">
        <v>33</v>
      </c>
      <c r="F135" s="6" t="s">
        <v>33</v>
      </c>
      <c r="G135" s="6"/>
      <c r="H135" s="6" t="str">
        <f aca="false">IF(Table2[[#This Row],[Need Mark]]="Y",C135&amp;"-"&amp;D135&amp;"/"&amp;L135,"-")</f>
        <v>-</v>
      </c>
      <c r="I135" s="6" t="str">
        <f aca="false">IF(Table2[[#This Row],[Need Mark]]="Y",L135&amp;"/"&amp;C135&amp;"-"&amp;D135,"-")</f>
        <v>-</v>
      </c>
      <c r="J135" s="6"/>
      <c r="K135" s="6" t="s">
        <v>225</v>
      </c>
      <c r="L135" s="6" t="str">
        <f aca="false">A135&amp;"-"&amp;K135&amp;"-"&amp;Z135&amp;"("&amp;Table2[[#This Row],[Column5]]&amp;")"</f>
        <v>P4-TBSI5-M2(11)</v>
      </c>
      <c r="M135" s="6"/>
      <c r="N135" s="6"/>
      <c r="O135" s="6"/>
      <c r="P135" s="6"/>
      <c r="Q135" s="6"/>
      <c r="R135" s="11" t="s">
        <v>105</v>
      </c>
      <c r="S135" s="11" t="s">
        <v>230</v>
      </c>
      <c r="T135" s="11" t="s">
        <v>231</v>
      </c>
      <c r="U135" s="1" t="n">
        <v>1</v>
      </c>
      <c r="V135" s="11" t="s">
        <v>209</v>
      </c>
      <c r="X135" s="6" t="s">
        <v>40</v>
      </c>
      <c r="Y135" s="6" t="s">
        <v>204</v>
      </c>
      <c r="Z135" s="6" t="str">
        <f aca="false">Z136</f>
        <v>M2</v>
      </c>
      <c r="AA135" s="6" t="n">
        <v>11</v>
      </c>
      <c r="AB135" s="11"/>
      <c r="AC135" s="11" t="s">
        <v>42</v>
      </c>
    </row>
    <row r="136" customFormat="false" ht="15" hidden="false" customHeight="true" outlineLevel="0" collapsed="false">
      <c r="A136" s="6" t="s">
        <v>29</v>
      </c>
      <c r="B136" s="7" t="s">
        <v>153</v>
      </c>
      <c r="C136" s="8" t="s">
        <v>153</v>
      </c>
      <c r="D136" s="9" t="n">
        <v>21</v>
      </c>
      <c r="E136" s="8" t="s">
        <v>43</v>
      </c>
      <c r="F136" s="8" t="s">
        <v>112</v>
      </c>
      <c r="G136" s="6" t="s">
        <v>34</v>
      </c>
      <c r="H136" s="6" t="str">
        <f aca="false">IF(Table2[[#This Row],[Need Mark]]="Y",C136&amp;"-"&amp;D136&amp;"/"&amp;L136,"-")</f>
        <v>C4S2-21/P4-TBSI5-M2(14)</v>
      </c>
      <c r="I136" s="6" t="str">
        <f aca="false">IF(Table2[[#This Row],[Need Mark]]="Y",L136&amp;"/"&amp;C136&amp;"-"&amp;D136,"-")</f>
        <v>P4-TBSI5-M2(14)/C4S2-21</v>
      </c>
      <c r="J136" s="6"/>
      <c r="K136" s="6" t="s">
        <v>225</v>
      </c>
      <c r="L136" s="6" t="str">
        <f aca="false">A136&amp;"-"&amp;K136&amp;"-"&amp;Z136&amp;"("&amp;Table2[[#This Row],[Column5]]&amp;")"</f>
        <v>P4-TBSI5-M2(14)</v>
      </c>
      <c r="M136" s="6"/>
      <c r="N136" s="6"/>
      <c r="O136" s="6"/>
      <c r="P136" s="6"/>
      <c r="Q136" s="6"/>
      <c r="R136" s="11" t="s">
        <v>105</v>
      </c>
      <c r="S136" s="11" t="s">
        <v>230</v>
      </c>
      <c r="T136" s="11" t="s">
        <v>231</v>
      </c>
      <c r="U136" s="6" t="n">
        <v>2</v>
      </c>
      <c r="V136" s="11" t="s">
        <v>209</v>
      </c>
      <c r="X136" s="6" t="s">
        <v>40</v>
      </c>
      <c r="Y136" s="6" t="s">
        <v>204</v>
      </c>
      <c r="Z136" s="6" t="s">
        <v>49</v>
      </c>
      <c r="AA136" s="6" t="n">
        <v>14</v>
      </c>
      <c r="AB136" s="11"/>
      <c r="AC136" s="11" t="s">
        <v>42</v>
      </c>
    </row>
    <row r="137" customFormat="false" ht="15" hidden="false" customHeight="true" outlineLevel="0" collapsed="false">
      <c r="A137" s="6" t="s">
        <v>29</v>
      </c>
      <c r="B137" s="7" t="s">
        <v>153</v>
      </c>
      <c r="C137" s="8" t="s">
        <v>31</v>
      </c>
      <c r="D137" s="9" t="s">
        <v>103</v>
      </c>
      <c r="E137" s="8" t="s">
        <v>33</v>
      </c>
      <c r="F137" s="6" t="s">
        <v>33</v>
      </c>
      <c r="G137" s="6"/>
      <c r="H137" s="6" t="str">
        <f aca="false">IF(Table2[[#This Row],[Need Mark]]="Y",C137&amp;"-"&amp;D137&amp;"/"&amp;L137,"-")</f>
        <v>-</v>
      </c>
      <c r="I137" s="6" t="str">
        <f aca="false">IF(Table2[[#This Row],[Need Mark]]="Y",L137&amp;"/"&amp;C137&amp;"-"&amp;D137,"-")</f>
        <v>-</v>
      </c>
      <c r="J137" s="6"/>
      <c r="K137" s="6" t="s">
        <v>225</v>
      </c>
      <c r="L137" s="6" t="str">
        <f aca="false">A137&amp;"-"&amp;K137&amp;"-"&amp;Z137&amp;"("&amp;Table2[[#This Row],[Column5]]&amp;")"</f>
        <v>P4-TBSI5-M3(11)</v>
      </c>
      <c r="M137" s="6"/>
      <c r="N137" s="6"/>
      <c r="O137" s="6"/>
      <c r="P137" s="6"/>
      <c r="Q137" s="6"/>
      <c r="R137" s="11" t="s">
        <v>105</v>
      </c>
      <c r="S137" s="11" t="s">
        <v>232</v>
      </c>
      <c r="T137" s="11" t="s">
        <v>233</v>
      </c>
      <c r="U137" s="1" t="n">
        <v>1</v>
      </c>
      <c r="V137" s="11" t="s">
        <v>209</v>
      </c>
      <c r="X137" s="6" t="s">
        <v>40</v>
      </c>
      <c r="Y137" s="6" t="s">
        <v>204</v>
      </c>
      <c r="Z137" s="6" t="str">
        <f aca="false">Z138</f>
        <v>M3</v>
      </c>
      <c r="AA137" s="6" t="n">
        <v>11</v>
      </c>
      <c r="AB137" s="11"/>
      <c r="AC137" s="11" t="s">
        <v>42</v>
      </c>
    </row>
    <row r="138" customFormat="false" ht="15" hidden="false" customHeight="true" outlineLevel="0" collapsed="false">
      <c r="A138" s="6" t="s">
        <v>29</v>
      </c>
      <c r="B138" s="7" t="s">
        <v>153</v>
      </c>
      <c r="C138" s="8" t="s">
        <v>153</v>
      </c>
      <c r="D138" s="9" t="n">
        <v>22</v>
      </c>
      <c r="E138" s="8" t="s">
        <v>43</v>
      </c>
      <c r="F138" s="8" t="s">
        <v>115</v>
      </c>
      <c r="G138" s="6" t="s">
        <v>34</v>
      </c>
      <c r="H138" s="6" t="str">
        <f aca="false">IF(Table2[[#This Row],[Need Mark]]="Y",C138&amp;"-"&amp;D138&amp;"/"&amp;L138,"-")</f>
        <v>C4S2-22/P4-TBSI5-M3(14)</v>
      </c>
      <c r="I138" s="6" t="str">
        <f aca="false">IF(Table2[[#This Row],[Need Mark]]="Y",L138&amp;"/"&amp;C138&amp;"-"&amp;D138,"-")</f>
        <v>P4-TBSI5-M3(14)/C4S2-22</v>
      </c>
      <c r="J138" s="6"/>
      <c r="K138" s="6" t="s">
        <v>225</v>
      </c>
      <c r="L138" s="6" t="str">
        <f aca="false">A138&amp;"-"&amp;K138&amp;"-"&amp;Z138&amp;"("&amp;Table2[[#This Row],[Column5]]&amp;")"</f>
        <v>P4-TBSI5-M3(14)</v>
      </c>
      <c r="M138" s="6"/>
      <c r="N138" s="6"/>
      <c r="O138" s="6"/>
      <c r="P138" s="6"/>
      <c r="Q138" s="6"/>
      <c r="R138" s="11" t="s">
        <v>105</v>
      </c>
      <c r="S138" s="11" t="s">
        <v>232</v>
      </c>
      <c r="T138" s="11" t="s">
        <v>233</v>
      </c>
      <c r="U138" s="6" t="n">
        <v>2</v>
      </c>
      <c r="V138" s="11" t="s">
        <v>209</v>
      </c>
      <c r="X138" s="6" t="s">
        <v>40</v>
      </c>
      <c r="Y138" s="6" t="s">
        <v>204</v>
      </c>
      <c r="Z138" s="6" t="s">
        <v>56</v>
      </c>
      <c r="AA138" s="6" t="n">
        <v>14</v>
      </c>
      <c r="AB138" s="11"/>
      <c r="AC138" s="11" t="s">
        <v>42</v>
      </c>
    </row>
    <row r="139" customFormat="false" ht="15" hidden="false" customHeight="true" outlineLevel="0" collapsed="false">
      <c r="A139" s="6" t="s">
        <v>29</v>
      </c>
      <c r="B139" s="7" t="s">
        <v>153</v>
      </c>
      <c r="C139" s="8" t="s">
        <v>31</v>
      </c>
      <c r="D139" s="9" t="s">
        <v>103</v>
      </c>
      <c r="E139" s="8" t="s">
        <v>33</v>
      </c>
      <c r="F139" s="6" t="s">
        <v>33</v>
      </c>
      <c r="G139" s="6"/>
      <c r="H139" s="6" t="str">
        <f aca="false">IF(Table2[[#This Row],[Need Mark]]="Y",C139&amp;"-"&amp;D139&amp;"/"&amp;L139,"-")</f>
        <v>-</v>
      </c>
      <c r="I139" s="6" t="str">
        <f aca="false">IF(Table2[[#This Row],[Need Mark]]="Y",L139&amp;"/"&amp;C139&amp;"-"&amp;D139,"-")</f>
        <v>-</v>
      </c>
      <c r="J139" s="6"/>
      <c r="K139" s="6" t="s">
        <v>225</v>
      </c>
      <c r="L139" s="6" t="str">
        <f aca="false">A139&amp;"-"&amp;K139&amp;"-"&amp;Z139&amp;"("&amp;Table2[[#This Row],[Column5]]&amp;")"</f>
        <v>P4-TBSI5-M5(11)</v>
      </c>
      <c r="M139" s="6"/>
      <c r="N139" s="6"/>
      <c r="O139" s="6"/>
      <c r="P139" s="6"/>
      <c r="Q139" s="6"/>
      <c r="R139" s="11" t="s">
        <v>105</v>
      </c>
      <c r="S139" s="11" t="s">
        <v>234</v>
      </c>
      <c r="T139" s="11" t="s">
        <v>235</v>
      </c>
      <c r="U139" s="1" t="n">
        <v>1</v>
      </c>
      <c r="V139" s="11" t="s">
        <v>209</v>
      </c>
      <c r="X139" s="6" t="s">
        <v>40</v>
      </c>
      <c r="Y139" s="6" t="s">
        <v>204</v>
      </c>
      <c r="Z139" s="6" t="str">
        <f aca="false">Z140</f>
        <v>M5</v>
      </c>
      <c r="AA139" s="6" t="n">
        <v>11</v>
      </c>
      <c r="AB139" s="11"/>
      <c r="AC139" s="11" t="s">
        <v>42</v>
      </c>
    </row>
    <row r="140" customFormat="false" ht="15" hidden="false" customHeight="true" outlineLevel="0" collapsed="false">
      <c r="A140" s="6" t="s">
        <v>29</v>
      </c>
      <c r="B140" s="7" t="s">
        <v>153</v>
      </c>
      <c r="C140" s="8" t="s">
        <v>153</v>
      </c>
      <c r="D140" s="9" t="n">
        <v>23</v>
      </c>
      <c r="E140" s="8" t="s">
        <v>43</v>
      </c>
      <c r="F140" s="8" t="s">
        <v>118</v>
      </c>
      <c r="G140" s="6" t="s">
        <v>34</v>
      </c>
      <c r="H140" s="6" t="str">
        <f aca="false">IF(Table2[[#This Row],[Need Mark]]="Y",C140&amp;"-"&amp;D140&amp;"/"&amp;L140,"-")</f>
        <v>C4S2-23/P4-TBSI5-M5(14)</v>
      </c>
      <c r="I140" s="6" t="str">
        <f aca="false">IF(Table2[[#This Row],[Need Mark]]="Y",L140&amp;"/"&amp;C140&amp;"-"&amp;D140,"-")</f>
        <v>P4-TBSI5-M5(14)/C4S2-23</v>
      </c>
      <c r="J140" s="6"/>
      <c r="K140" s="6" t="s">
        <v>225</v>
      </c>
      <c r="L140" s="6" t="str">
        <f aca="false">A140&amp;"-"&amp;K140&amp;"-"&amp;Z140&amp;"("&amp;Table2[[#This Row],[Column5]]&amp;")"</f>
        <v>P4-TBSI5-M5(14)</v>
      </c>
      <c r="M140" s="6"/>
      <c r="N140" s="6"/>
      <c r="O140" s="6"/>
      <c r="P140" s="6"/>
      <c r="Q140" s="6"/>
      <c r="R140" s="11" t="s">
        <v>105</v>
      </c>
      <c r="S140" s="11" t="s">
        <v>234</v>
      </c>
      <c r="T140" s="11" t="s">
        <v>235</v>
      </c>
      <c r="U140" s="6" t="n">
        <v>2</v>
      </c>
      <c r="V140" s="11" t="s">
        <v>209</v>
      </c>
      <c r="X140" s="6" t="s">
        <v>40</v>
      </c>
      <c r="Y140" s="6" t="s">
        <v>204</v>
      </c>
      <c r="Z140" s="6" t="s">
        <v>60</v>
      </c>
      <c r="AA140" s="6" t="n">
        <v>14</v>
      </c>
      <c r="AB140" s="11"/>
      <c r="AC140" s="11" t="s">
        <v>42</v>
      </c>
    </row>
    <row r="141" customFormat="false" ht="15" hidden="false" customHeight="true" outlineLevel="0" collapsed="false">
      <c r="A141" s="6" t="s">
        <v>29</v>
      </c>
      <c r="B141" s="7" t="s">
        <v>153</v>
      </c>
      <c r="C141" s="8" t="s">
        <v>31</v>
      </c>
      <c r="D141" s="9" t="s">
        <v>103</v>
      </c>
      <c r="E141" s="8" t="s">
        <v>33</v>
      </c>
      <c r="F141" s="6" t="s">
        <v>33</v>
      </c>
      <c r="G141" s="6"/>
      <c r="H141" s="6" t="str">
        <f aca="false">IF(Table2[[#This Row],[Need Mark]]="Y",C141&amp;"-"&amp;D141&amp;"/"&amp;L141,"-")</f>
        <v>-</v>
      </c>
      <c r="I141" s="6" t="str">
        <f aca="false">IF(Table2[[#This Row],[Need Mark]]="Y",L141&amp;"/"&amp;C141&amp;"-"&amp;D141,"-")</f>
        <v>-</v>
      </c>
      <c r="J141" s="6"/>
      <c r="K141" s="6" t="s">
        <v>225</v>
      </c>
      <c r="L141" s="6" t="str">
        <f aca="false">A141&amp;"-"&amp;K141&amp;"-"&amp;Z141&amp;"("&amp;Table2[[#This Row],[Column5]]&amp;")"</f>
        <v>P4-TBSI5-M6(11)</v>
      </c>
      <c r="M141" s="6"/>
      <c r="N141" s="6"/>
      <c r="O141" s="6"/>
      <c r="P141" s="6"/>
      <c r="Q141" s="6"/>
      <c r="R141" s="11" t="s">
        <v>105</v>
      </c>
      <c r="S141" s="11" t="s">
        <v>236</v>
      </c>
      <c r="T141" s="11" t="s">
        <v>237</v>
      </c>
      <c r="U141" s="1" t="n">
        <v>1</v>
      </c>
      <c r="V141" s="11" t="s">
        <v>238</v>
      </c>
      <c r="X141" s="6" t="s">
        <v>40</v>
      </c>
      <c r="Y141" s="6" t="s">
        <v>204</v>
      </c>
      <c r="Z141" s="6" t="str">
        <f aca="false">Z142</f>
        <v>M6</v>
      </c>
      <c r="AA141" s="6" t="n">
        <v>11</v>
      </c>
      <c r="AB141" s="11"/>
      <c r="AC141" s="11" t="s">
        <v>42</v>
      </c>
    </row>
    <row r="142" customFormat="false" ht="15" hidden="false" customHeight="true" outlineLevel="0" collapsed="false">
      <c r="A142" s="6" t="s">
        <v>29</v>
      </c>
      <c r="B142" s="7" t="s">
        <v>153</v>
      </c>
      <c r="C142" s="8" t="s">
        <v>153</v>
      </c>
      <c r="D142" s="9" t="n">
        <v>24</v>
      </c>
      <c r="E142" s="8" t="s">
        <v>43</v>
      </c>
      <c r="F142" s="6" t="s">
        <v>121</v>
      </c>
      <c r="G142" s="6" t="s">
        <v>34</v>
      </c>
      <c r="H142" s="6" t="str">
        <f aca="false">IF(Table2[[#This Row],[Need Mark]]="Y",C142&amp;"-"&amp;D142&amp;"/"&amp;L142,"-")</f>
        <v>C4S2-24/P4-TBSI5-M6(14)</v>
      </c>
      <c r="I142" s="6" t="str">
        <f aca="false">IF(Table2[[#This Row],[Need Mark]]="Y",L142&amp;"/"&amp;C142&amp;"-"&amp;D142,"-")</f>
        <v>P4-TBSI5-M6(14)/C4S2-24</v>
      </c>
      <c r="J142" s="6"/>
      <c r="K142" s="6" t="s">
        <v>225</v>
      </c>
      <c r="L142" s="6" t="str">
        <f aca="false">A142&amp;"-"&amp;K142&amp;"-"&amp;Z142&amp;"("&amp;Table2[[#This Row],[Column5]]&amp;")"</f>
        <v>P4-TBSI5-M6(14)</v>
      </c>
      <c r="M142" s="6"/>
      <c r="N142" s="6"/>
      <c r="O142" s="6"/>
      <c r="P142" s="6"/>
      <c r="Q142" s="6"/>
      <c r="R142" s="11" t="s">
        <v>105</v>
      </c>
      <c r="S142" s="11" t="s">
        <v>236</v>
      </c>
      <c r="T142" s="11" t="s">
        <v>237</v>
      </c>
      <c r="U142" s="6" t="n">
        <v>2</v>
      </c>
      <c r="V142" s="11" t="s">
        <v>238</v>
      </c>
      <c r="X142" s="6" t="s">
        <v>40</v>
      </c>
      <c r="Y142" s="6" t="s">
        <v>204</v>
      </c>
      <c r="Z142" s="6" t="s">
        <v>64</v>
      </c>
      <c r="AA142" s="6" t="n">
        <v>14</v>
      </c>
      <c r="AB142" s="11"/>
      <c r="AC142" s="11" t="s">
        <v>42</v>
      </c>
    </row>
    <row r="143" customFormat="false" ht="15" hidden="false" customHeight="true" outlineLevel="0" collapsed="false">
      <c r="A143" s="6" t="s">
        <v>29</v>
      </c>
      <c r="B143" s="7" t="s">
        <v>153</v>
      </c>
      <c r="C143" s="8" t="s">
        <v>31</v>
      </c>
      <c r="D143" s="9" t="s">
        <v>103</v>
      </c>
      <c r="E143" s="8" t="s">
        <v>33</v>
      </c>
      <c r="F143" s="6" t="s">
        <v>33</v>
      </c>
      <c r="G143" s="6"/>
      <c r="H143" s="6" t="str">
        <f aca="false">IF(Table2[[#This Row],[Need Mark]]="Y",C143&amp;"-"&amp;D143&amp;"/"&amp;L143,"-")</f>
        <v>-</v>
      </c>
      <c r="I143" s="6" t="str">
        <f aca="false">IF(Table2[[#This Row],[Need Mark]]="Y",L143&amp;"/"&amp;C143&amp;"-"&amp;D143,"-")</f>
        <v>-</v>
      </c>
      <c r="J143" s="6"/>
      <c r="K143" s="6" t="s">
        <v>225</v>
      </c>
      <c r="L143" s="6" t="str">
        <f aca="false">A143&amp;"-"&amp;K143&amp;"-"&amp;Z143&amp;"("&amp;Table2[[#This Row],[Column5]]&amp;")"</f>
        <v>P4-TBSI5-M7(11)</v>
      </c>
      <c r="M143" s="6"/>
      <c r="N143" s="6"/>
      <c r="O143" s="6"/>
      <c r="P143" s="6"/>
      <c r="Q143" s="6"/>
      <c r="R143" s="11" t="s">
        <v>169</v>
      </c>
      <c r="S143" s="11" t="s">
        <v>239</v>
      </c>
      <c r="T143" s="11" t="s">
        <v>240</v>
      </c>
      <c r="U143" s="1" t="n">
        <v>1</v>
      </c>
      <c r="V143" s="11" t="s">
        <v>220</v>
      </c>
      <c r="X143" s="6" t="s">
        <v>40</v>
      </c>
      <c r="Y143" s="6" t="s">
        <v>204</v>
      </c>
      <c r="Z143" s="6" t="str">
        <f aca="false">Z144</f>
        <v>M7</v>
      </c>
      <c r="AA143" s="6" t="n">
        <v>11</v>
      </c>
      <c r="AB143" s="11"/>
      <c r="AC143" s="11" t="s">
        <v>42</v>
      </c>
    </row>
    <row r="144" customFormat="false" ht="15" hidden="false" customHeight="true" outlineLevel="0" collapsed="false">
      <c r="A144" s="6" t="s">
        <v>29</v>
      </c>
      <c r="B144" s="7" t="s">
        <v>153</v>
      </c>
      <c r="C144" s="8" t="s">
        <v>153</v>
      </c>
      <c r="D144" s="9" t="n">
        <v>25</v>
      </c>
      <c r="E144" s="8" t="s">
        <v>43</v>
      </c>
      <c r="F144" s="6" t="s">
        <v>124</v>
      </c>
      <c r="G144" s="6" t="s">
        <v>34</v>
      </c>
      <c r="H144" s="6" t="str">
        <f aca="false">IF(Table2[[#This Row],[Need Mark]]="Y",C144&amp;"-"&amp;D144&amp;"/"&amp;L144,"-")</f>
        <v>C4S2-25/P4-TBSI5-M7(14)</v>
      </c>
      <c r="I144" s="6" t="str">
        <f aca="false">IF(Table2[[#This Row],[Need Mark]]="Y",L144&amp;"/"&amp;C144&amp;"-"&amp;D144,"-")</f>
        <v>P4-TBSI5-M7(14)/C4S2-25</v>
      </c>
      <c r="J144" s="6"/>
      <c r="K144" s="6" t="s">
        <v>225</v>
      </c>
      <c r="L144" s="6" t="str">
        <f aca="false">A144&amp;"-"&amp;K144&amp;"-"&amp;Z144&amp;"("&amp;Table2[[#This Row],[Column5]]&amp;")"</f>
        <v>P4-TBSI5-M7(14)</v>
      </c>
      <c r="M144" s="6"/>
      <c r="N144" s="6"/>
      <c r="O144" s="6"/>
      <c r="P144" s="6"/>
      <c r="Q144" s="6"/>
      <c r="R144" s="11" t="s">
        <v>169</v>
      </c>
      <c r="S144" s="11" t="s">
        <v>239</v>
      </c>
      <c r="T144" s="11" t="s">
        <v>240</v>
      </c>
      <c r="U144" s="6" t="n">
        <v>2</v>
      </c>
      <c r="V144" s="11" t="s">
        <v>220</v>
      </c>
      <c r="X144" s="6" t="s">
        <v>40</v>
      </c>
      <c r="Y144" s="6" t="s">
        <v>204</v>
      </c>
      <c r="Z144" s="6" t="s">
        <v>68</v>
      </c>
      <c r="AA144" s="6" t="n">
        <v>14</v>
      </c>
      <c r="AB144" s="11"/>
      <c r="AC144" s="11" t="s">
        <v>42</v>
      </c>
    </row>
    <row r="145" customFormat="false" ht="15" hidden="false" customHeight="true" outlineLevel="0" collapsed="false">
      <c r="A145" s="6" t="s">
        <v>29</v>
      </c>
      <c r="B145" s="7" t="s">
        <v>153</v>
      </c>
      <c r="C145" s="8" t="s">
        <v>31</v>
      </c>
      <c r="D145" s="9" t="s">
        <v>103</v>
      </c>
      <c r="E145" s="8" t="s">
        <v>33</v>
      </c>
      <c r="F145" s="6" t="s">
        <v>33</v>
      </c>
      <c r="G145" s="6"/>
      <c r="H145" s="6" t="str">
        <f aca="false">IF(Table2[[#This Row],[Need Mark]]="Y",C145&amp;"-"&amp;D145&amp;"/"&amp;L145,"-")</f>
        <v>-</v>
      </c>
      <c r="I145" s="6" t="str">
        <f aca="false">IF(Table2[[#This Row],[Need Mark]]="Y",L145&amp;"/"&amp;C145&amp;"-"&amp;D145,"-")</f>
        <v>-</v>
      </c>
      <c r="J145" s="6"/>
      <c r="K145" s="6" t="s">
        <v>225</v>
      </c>
      <c r="L145" s="6" t="str">
        <f aca="false">A145&amp;"-"&amp;K145&amp;"-"&amp;Z145&amp;"("&amp;Table2[[#This Row],[Column5]]&amp;")"</f>
        <v>P4-TBSI5-M8(11)</v>
      </c>
      <c r="M145" s="6"/>
      <c r="N145" s="6"/>
      <c r="O145" s="6"/>
      <c r="P145" s="6"/>
      <c r="Q145" s="6"/>
      <c r="R145" s="11" t="s">
        <v>169</v>
      </c>
      <c r="S145" s="11" t="s">
        <v>241</v>
      </c>
      <c r="T145" s="11" t="s">
        <v>242</v>
      </c>
      <c r="U145" s="1" t="n">
        <v>1</v>
      </c>
      <c r="V145" s="11" t="s">
        <v>220</v>
      </c>
      <c r="X145" s="6" t="s">
        <v>40</v>
      </c>
      <c r="Y145" s="6" t="s">
        <v>204</v>
      </c>
      <c r="Z145" s="6" t="str">
        <f aca="false">Z146</f>
        <v>M8</v>
      </c>
      <c r="AA145" s="6" t="n">
        <v>11</v>
      </c>
      <c r="AB145" s="11"/>
      <c r="AC145" s="11" t="s">
        <v>42</v>
      </c>
    </row>
    <row r="146" customFormat="false" ht="15" hidden="false" customHeight="true" outlineLevel="0" collapsed="false">
      <c r="A146" s="6" t="s">
        <v>29</v>
      </c>
      <c r="B146" s="7" t="s">
        <v>153</v>
      </c>
      <c r="C146" s="8" t="s">
        <v>153</v>
      </c>
      <c r="D146" s="9" t="n">
        <v>26</v>
      </c>
      <c r="E146" s="8" t="s">
        <v>43</v>
      </c>
      <c r="F146" s="6" t="s">
        <v>127</v>
      </c>
      <c r="G146" s="6" t="s">
        <v>34</v>
      </c>
      <c r="H146" s="6" t="str">
        <f aca="false">IF(Table2[[#This Row],[Need Mark]]="Y",C146&amp;"-"&amp;D146&amp;"/"&amp;L146,"-")</f>
        <v>C4S2-26/P4-TBSI5-M8(14)</v>
      </c>
      <c r="I146" s="6" t="str">
        <f aca="false">IF(Table2[[#This Row],[Need Mark]]="Y",L146&amp;"/"&amp;C146&amp;"-"&amp;D146,"-")</f>
        <v>P4-TBSI5-M8(14)/C4S2-26</v>
      </c>
      <c r="J146" s="6"/>
      <c r="K146" s="6" t="s">
        <v>225</v>
      </c>
      <c r="L146" s="6" t="str">
        <f aca="false">A146&amp;"-"&amp;K146&amp;"-"&amp;Z146&amp;"("&amp;Table2[[#This Row],[Column5]]&amp;")"</f>
        <v>P4-TBSI5-M8(14)</v>
      </c>
      <c r="M146" s="6"/>
      <c r="N146" s="6"/>
      <c r="O146" s="6"/>
      <c r="P146" s="6"/>
      <c r="Q146" s="6"/>
      <c r="R146" s="11" t="s">
        <v>169</v>
      </c>
      <c r="S146" s="11" t="s">
        <v>241</v>
      </c>
      <c r="T146" s="11" t="s">
        <v>242</v>
      </c>
      <c r="U146" s="6" t="n">
        <v>2</v>
      </c>
      <c r="V146" s="11" t="s">
        <v>220</v>
      </c>
      <c r="X146" s="6" t="s">
        <v>40</v>
      </c>
      <c r="Y146" s="6" t="s">
        <v>204</v>
      </c>
      <c r="Z146" s="6" t="s">
        <v>72</v>
      </c>
      <c r="AA146" s="6" t="n">
        <v>14</v>
      </c>
      <c r="AB146" s="11"/>
      <c r="AC146" s="11" t="s">
        <v>42</v>
      </c>
    </row>
    <row r="147" customFormat="false" ht="15" hidden="false" customHeight="true" outlineLevel="0" collapsed="false">
      <c r="A147" s="6" t="s">
        <v>29</v>
      </c>
      <c r="B147" s="7" t="s">
        <v>153</v>
      </c>
      <c r="C147" s="8" t="s">
        <v>31</v>
      </c>
      <c r="D147" s="9" t="s">
        <v>103</v>
      </c>
      <c r="E147" s="8" t="s">
        <v>33</v>
      </c>
      <c r="F147" s="6" t="s">
        <v>33</v>
      </c>
      <c r="G147" s="6"/>
      <c r="H147" s="6" t="str">
        <f aca="false">IF(Table2[[#This Row],[Need Mark]]="Y",C147&amp;"-"&amp;D147&amp;"/"&amp;L147,"-")</f>
        <v>-</v>
      </c>
      <c r="I147" s="6" t="str">
        <f aca="false">IF(Table2[[#This Row],[Need Mark]]="Y",L147&amp;"/"&amp;C147&amp;"-"&amp;D147,"-")</f>
        <v>-</v>
      </c>
      <c r="J147" s="6"/>
      <c r="K147" s="6" t="s">
        <v>225</v>
      </c>
      <c r="L147" s="6" t="str">
        <f aca="false">A147&amp;"-"&amp;K147&amp;"-"&amp;Z147&amp;"("&amp;Table2[[#This Row],[Column5]]&amp;")"</f>
        <v>P4-TBSI5-M9(11)</v>
      </c>
      <c r="M147" s="6"/>
      <c r="N147" s="6"/>
      <c r="O147" s="6"/>
      <c r="P147" s="6"/>
      <c r="Q147" s="6"/>
      <c r="R147" s="11" t="s">
        <v>169</v>
      </c>
      <c r="S147" s="11" t="s">
        <v>243</v>
      </c>
      <c r="T147" s="11" t="s">
        <v>244</v>
      </c>
      <c r="U147" s="1" t="n">
        <v>1</v>
      </c>
      <c r="V147" s="11" t="s">
        <v>245</v>
      </c>
      <c r="X147" s="6" t="s">
        <v>40</v>
      </c>
      <c r="Y147" s="6" t="s">
        <v>204</v>
      </c>
      <c r="Z147" s="6" t="str">
        <f aca="false">Z148</f>
        <v>M9</v>
      </c>
      <c r="AA147" s="6" t="n">
        <v>11</v>
      </c>
      <c r="AB147" s="11"/>
      <c r="AC147" s="11" t="s">
        <v>42</v>
      </c>
    </row>
    <row r="148" customFormat="false" ht="15" hidden="false" customHeight="true" outlineLevel="0" collapsed="false">
      <c r="A148" s="6" t="s">
        <v>29</v>
      </c>
      <c r="B148" s="7" t="s">
        <v>153</v>
      </c>
      <c r="C148" s="8" t="s">
        <v>153</v>
      </c>
      <c r="D148" s="9" t="n">
        <v>27</v>
      </c>
      <c r="E148" s="8" t="s">
        <v>43</v>
      </c>
      <c r="F148" s="6" t="s">
        <v>131</v>
      </c>
      <c r="G148" s="6" t="s">
        <v>34</v>
      </c>
      <c r="H148" s="6" t="str">
        <f aca="false">IF(Table2[[#This Row],[Need Mark]]="Y",C148&amp;"-"&amp;D148&amp;"/"&amp;L148,"-")</f>
        <v>C4S2-27/P4-TBSI5-M9(14)</v>
      </c>
      <c r="I148" s="6" t="str">
        <f aca="false">IF(Table2[[#This Row],[Need Mark]]="Y",L148&amp;"/"&amp;C148&amp;"-"&amp;D148,"-")</f>
        <v>P4-TBSI5-M9(14)/C4S2-27</v>
      </c>
      <c r="J148" s="6"/>
      <c r="K148" s="6" t="s">
        <v>225</v>
      </c>
      <c r="L148" s="6" t="str">
        <f aca="false">A148&amp;"-"&amp;K148&amp;"-"&amp;Z148&amp;"("&amp;Table2[[#This Row],[Column5]]&amp;")"</f>
        <v>P4-TBSI5-M9(14)</v>
      </c>
      <c r="M148" s="6"/>
      <c r="N148" s="6"/>
      <c r="O148" s="6"/>
      <c r="P148" s="6"/>
      <c r="Q148" s="6"/>
      <c r="R148" s="11" t="s">
        <v>169</v>
      </c>
      <c r="S148" s="11" t="s">
        <v>243</v>
      </c>
      <c r="T148" s="11" t="s">
        <v>244</v>
      </c>
      <c r="U148" s="6" t="n">
        <v>2</v>
      </c>
      <c r="V148" s="11" t="s">
        <v>245</v>
      </c>
      <c r="X148" s="6" t="s">
        <v>40</v>
      </c>
      <c r="Y148" s="6" t="s">
        <v>204</v>
      </c>
      <c r="Z148" s="6" t="s">
        <v>76</v>
      </c>
      <c r="AA148" s="6" t="n">
        <v>14</v>
      </c>
      <c r="AB148" s="11"/>
      <c r="AC148" s="11" t="s">
        <v>42</v>
      </c>
    </row>
    <row r="149" customFormat="false" ht="15" hidden="false" customHeight="true" outlineLevel="0" collapsed="false">
      <c r="A149" s="6" t="s">
        <v>29</v>
      </c>
      <c r="B149" s="7" t="s">
        <v>153</v>
      </c>
      <c r="C149" s="8" t="s">
        <v>31</v>
      </c>
      <c r="D149" s="9" t="s">
        <v>103</v>
      </c>
      <c r="E149" s="8" t="s">
        <v>33</v>
      </c>
      <c r="F149" s="6" t="s">
        <v>33</v>
      </c>
      <c r="G149" s="6"/>
      <c r="H149" s="6" t="str">
        <f aca="false">IF(Table2[[#This Row],[Need Mark]]="Y",C149&amp;"-"&amp;D149&amp;"/"&amp;L149,"-")</f>
        <v>-</v>
      </c>
      <c r="I149" s="6" t="str">
        <f aca="false">IF(Table2[[#This Row],[Need Mark]]="Y",L149&amp;"/"&amp;C149&amp;"-"&amp;D149,"-")</f>
        <v>-</v>
      </c>
      <c r="J149" s="6"/>
      <c r="K149" s="6" t="s">
        <v>225</v>
      </c>
      <c r="L149" s="6" t="str">
        <f aca="false">A149&amp;"-"&amp;K149&amp;"-"&amp;Z149&amp;"("&amp;Table2[[#This Row],[Column5]]&amp;")"</f>
        <v>P4-TBSI5-M10(11)</v>
      </c>
      <c r="M149" s="6"/>
      <c r="N149" s="6"/>
      <c r="O149" s="6"/>
      <c r="P149" s="6"/>
      <c r="Q149" s="6"/>
      <c r="R149" s="11" t="s">
        <v>169</v>
      </c>
      <c r="S149" s="11" t="s">
        <v>246</v>
      </c>
      <c r="T149" s="11" t="s">
        <v>247</v>
      </c>
      <c r="U149" s="1" t="n">
        <v>1</v>
      </c>
      <c r="V149" s="11" t="s">
        <v>203</v>
      </c>
      <c r="X149" s="6" t="s">
        <v>40</v>
      </c>
      <c r="Y149" s="6" t="s">
        <v>204</v>
      </c>
      <c r="Z149" s="6" t="str">
        <f aca="false">Z150</f>
        <v>M10</v>
      </c>
      <c r="AA149" s="6" t="n">
        <v>11</v>
      </c>
      <c r="AB149" s="11"/>
      <c r="AC149" s="11" t="s">
        <v>42</v>
      </c>
    </row>
    <row r="150" customFormat="false" ht="15" hidden="false" customHeight="true" outlineLevel="0" collapsed="false">
      <c r="A150" s="6" t="s">
        <v>29</v>
      </c>
      <c r="B150" s="7" t="s">
        <v>153</v>
      </c>
      <c r="C150" s="8" t="s">
        <v>153</v>
      </c>
      <c r="D150" s="9" t="n">
        <v>28</v>
      </c>
      <c r="E150" s="8" t="s">
        <v>43</v>
      </c>
      <c r="F150" s="6" t="s">
        <v>134</v>
      </c>
      <c r="G150" s="6" t="s">
        <v>34</v>
      </c>
      <c r="H150" s="6" t="str">
        <f aca="false">IF(Table2[[#This Row],[Need Mark]]="Y",C150&amp;"-"&amp;D150&amp;"/"&amp;L150,"-")</f>
        <v>C4S2-28/P4-TBSI5-M10(14)</v>
      </c>
      <c r="I150" s="6" t="str">
        <f aca="false">IF(Table2[[#This Row],[Need Mark]]="Y",L150&amp;"/"&amp;C150&amp;"-"&amp;D150,"-")</f>
        <v>P4-TBSI5-M10(14)/C4S2-28</v>
      </c>
      <c r="J150" s="6"/>
      <c r="K150" s="6" t="s">
        <v>225</v>
      </c>
      <c r="L150" s="6" t="str">
        <f aca="false">A150&amp;"-"&amp;K150&amp;"-"&amp;Z150&amp;"("&amp;Table2[[#This Row],[Column5]]&amp;")"</f>
        <v>P4-TBSI5-M10(14)</v>
      </c>
      <c r="M150" s="6"/>
      <c r="N150" s="6"/>
      <c r="O150" s="6"/>
      <c r="P150" s="6"/>
      <c r="Q150" s="6"/>
      <c r="R150" s="11" t="s">
        <v>169</v>
      </c>
      <c r="S150" s="11" t="s">
        <v>246</v>
      </c>
      <c r="T150" s="11" t="s">
        <v>247</v>
      </c>
      <c r="U150" s="6" t="n">
        <v>2</v>
      </c>
      <c r="V150" s="11" t="s">
        <v>203</v>
      </c>
      <c r="X150" s="6" t="s">
        <v>40</v>
      </c>
      <c r="Y150" s="6" t="s">
        <v>204</v>
      </c>
      <c r="Z150" s="6" t="s">
        <v>80</v>
      </c>
      <c r="AA150" s="6" t="n">
        <v>14</v>
      </c>
      <c r="AB150" s="11"/>
      <c r="AC150" s="11" t="s">
        <v>42</v>
      </c>
    </row>
    <row r="151" customFormat="false" ht="15" hidden="false" customHeight="true" outlineLevel="0" collapsed="false">
      <c r="A151" s="6" t="s">
        <v>29</v>
      </c>
      <c r="B151" s="7" t="s">
        <v>153</v>
      </c>
      <c r="C151" s="8" t="s">
        <v>31</v>
      </c>
      <c r="D151" s="9" t="s">
        <v>103</v>
      </c>
      <c r="E151" s="8" t="s">
        <v>33</v>
      </c>
      <c r="F151" s="6" t="s">
        <v>33</v>
      </c>
      <c r="G151" s="6"/>
      <c r="H151" s="6" t="str">
        <f aca="false">IF(Table2[[#This Row],[Need Mark]]="Y",C151&amp;"-"&amp;D151&amp;"/"&amp;L151,"-")</f>
        <v>-</v>
      </c>
      <c r="I151" s="6" t="str">
        <f aca="false">IF(Table2[[#This Row],[Need Mark]]="Y",L151&amp;"/"&amp;C151&amp;"-"&amp;D151,"-")</f>
        <v>-</v>
      </c>
      <c r="J151" s="6"/>
      <c r="K151" s="6" t="s">
        <v>225</v>
      </c>
      <c r="L151" s="6" t="str">
        <f aca="false">A151&amp;"-"&amp;K151&amp;"-"&amp;Z151&amp;"("&amp;Table2[[#This Row],[Column5]]&amp;")"</f>
        <v>P4-TBSI5-M11(11)</v>
      </c>
      <c r="M151" s="6"/>
      <c r="N151" s="6"/>
      <c r="O151" s="6"/>
      <c r="P151" s="6"/>
      <c r="Q151" s="6"/>
      <c r="R151" s="11" t="s">
        <v>169</v>
      </c>
      <c r="S151" s="11" t="s">
        <v>248</v>
      </c>
      <c r="T151" s="11" t="s">
        <v>249</v>
      </c>
      <c r="U151" s="1" t="n">
        <v>1</v>
      </c>
      <c r="V151" s="11" t="s">
        <v>203</v>
      </c>
      <c r="X151" s="6" t="s">
        <v>40</v>
      </c>
      <c r="Y151" s="6" t="s">
        <v>204</v>
      </c>
      <c r="Z151" s="6" t="str">
        <f aca="false">Z152</f>
        <v>M11</v>
      </c>
      <c r="AA151" s="6" t="n">
        <v>11</v>
      </c>
      <c r="AB151" s="11"/>
      <c r="AC151" s="11" t="s">
        <v>42</v>
      </c>
    </row>
    <row r="152" customFormat="false" ht="15" hidden="false" customHeight="true" outlineLevel="0" collapsed="false">
      <c r="A152" s="6" t="s">
        <v>29</v>
      </c>
      <c r="B152" s="7" t="s">
        <v>153</v>
      </c>
      <c r="C152" s="8" t="s">
        <v>153</v>
      </c>
      <c r="D152" s="9" t="n">
        <v>29</v>
      </c>
      <c r="E152" s="8" t="s">
        <v>43</v>
      </c>
      <c r="F152" s="6" t="s">
        <v>137</v>
      </c>
      <c r="G152" s="6" t="s">
        <v>34</v>
      </c>
      <c r="H152" s="6" t="str">
        <f aca="false">IF(Table2[[#This Row],[Need Mark]]="Y",C152&amp;"-"&amp;D152&amp;"/"&amp;L152,"-")</f>
        <v>C4S2-29/P4-TBSI5-M11(14)</v>
      </c>
      <c r="I152" s="6" t="str">
        <f aca="false">IF(Table2[[#This Row],[Need Mark]]="Y",L152&amp;"/"&amp;C152&amp;"-"&amp;D152,"-")</f>
        <v>P4-TBSI5-M11(14)/C4S2-29</v>
      </c>
      <c r="J152" s="6"/>
      <c r="K152" s="6" t="s">
        <v>225</v>
      </c>
      <c r="L152" s="6" t="str">
        <f aca="false">A152&amp;"-"&amp;K152&amp;"-"&amp;Z152&amp;"("&amp;Table2[[#This Row],[Column5]]&amp;")"</f>
        <v>P4-TBSI5-M11(14)</v>
      </c>
      <c r="M152" s="6"/>
      <c r="N152" s="6"/>
      <c r="O152" s="6"/>
      <c r="P152" s="6"/>
      <c r="Q152" s="6"/>
      <c r="R152" s="11" t="s">
        <v>169</v>
      </c>
      <c r="S152" s="11" t="s">
        <v>248</v>
      </c>
      <c r="T152" s="11" t="s">
        <v>249</v>
      </c>
      <c r="U152" s="6" t="n">
        <v>2</v>
      </c>
      <c r="V152" s="11" t="s">
        <v>203</v>
      </c>
      <c r="X152" s="6" t="s">
        <v>40</v>
      </c>
      <c r="Y152" s="6" t="s">
        <v>204</v>
      </c>
      <c r="Z152" s="6" t="s">
        <v>84</v>
      </c>
      <c r="AA152" s="6" t="n">
        <v>14</v>
      </c>
      <c r="AB152" s="11"/>
      <c r="AC152" s="11" t="s">
        <v>42</v>
      </c>
    </row>
    <row r="153" customFormat="false" ht="15" hidden="false" customHeight="true" outlineLevel="0" collapsed="false">
      <c r="A153" s="6" t="s">
        <v>29</v>
      </c>
      <c r="B153" s="7" t="s">
        <v>153</v>
      </c>
      <c r="C153" s="8" t="s">
        <v>31</v>
      </c>
      <c r="D153" s="9" t="s">
        <v>103</v>
      </c>
      <c r="E153" s="8" t="s">
        <v>33</v>
      </c>
      <c r="F153" s="6" t="s">
        <v>33</v>
      </c>
      <c r="G153" s="6"/>
      <c r="H153" s="6" t="str">
        <f aca="false">IF(Table2[[#This Row],[Need Mark]]="Y",C153&amp;"-"&amp;D153&amp;"/"&amp;L153,"-")</f>
        <v>-</v>
      </c>
      <c r="I153" s="6" t="str">
        <f aca="false">IF(Table2[[#This Row],[Need Mark]]="Y",L153&amp;"/"&amp;C153&amp;"-"&amp;D153,"-")</f>
        <v>-</v>
      </c>
      <c r="J153" s="6"/>
      <c r="K153" s="6" t="s">
        <v>225</v>
      </c>
      <c r="L153" s="6" t="str">
        <f aca="false">A153&amp;"-"&amp;K153&amp;"-"&amp;Z153&amp;"("&amp;Table2[[#This Row],[Column5]]&amp;")"</f>
        <v>P4-TBSI5-M12(11)</v>
      </c>
      <c r="M153" s="6"/>
      <c r="N153" s="6"/>
      <c r="O153" s="6"/>
      <c r="P153" s="6"/>
      <c r="Q153" s="6"/>
      <c r="R153" s="11" t="s">
        <v>169</v>
      </c>
      <c r="S153" s="11" t="s">
        <v>250</v>
      </c>
      <c r="T153" s="11" t="s">
        <v>251</v>
      </c>
      <c r="U153" s="1" t="n">
        <v>1</v>
      </c>
      <c r="V153" s="11" t="s">
        <v>203</v>
      </c>
      <c r="X153" s="6" t="s">
        <v>40</v>
      </c>
      <c r="Y153" s="6" t="s">
        <v>204</v>
      </c>
      <c r="Z153" s="6" t="str">
        <f aca="false">Z154</f>
        <v>M12</v>
      </c>
      <c r="AA153" s="6" t="n">
        <v>11</v>
      </c>
      <c r="AB153" s="11"/>
      <c r="AC153" s="11" t="s">
        <v>42</v>
      </c>
    </row>
    <row r="154" customFormat="false" ht="15" hidden="false" customHeight="true" outlineLevel="0" collapsed="false">
      <c r="A154" s="6" t="s">
        <v>29</v>
      </c>
      <c r="B154" s="7" t="s">
        <v>153</v>
      </c>
      <c r="C154" s="8" t="s">
        <v>153</v>
      </c>
      <c r="D154" s="9" t="n">
        <v>30</v>
      </c>
      <c r="E154" s="8" t="s">
        <v>43</v>
      </c>
      <c r="F154" s="6" t="s">
        <v>140</v>
      </c>
      <c r="G154" s="6" t="s">
        <v>34</v>
      </c>
      <c r="H154" s="6" t="str">
        <f aca="false">IF(Table2[[#This Row],[Need Mark]]="Y",C154&amp;"-"&amp;D154&amp;"/"&amp;L154,"-")</f>
        <v>C4S2-30/P4-TBSI5-M12(14)</v>
      </c>
      <c r="I154" s="6" t="str">
        <f aca="false">IF(Table2[[#This Row],[Need Mark]]="Y",L154&amp;"/"&amp;C154&amp;"-"&amp;D154,"-")</f>
        <v>P4-TBSI5-M12(14)/C4S2-30</v>
      </c>
      <c r="J154" s="6"/>
      <c r="K154" s="6" t="s">
        <v>225</v>
      </c>
      <c r="L154" s="6" t="str">
        <f aca="false">A154&amp;"-"&amp;K154&amp;"-"&amp;Z154&amp;"("&amp;Table2[[#This Row],[Column5]]&amp;")"</f>
        <v>P4-TBSI5-M12(14)</v>
      </c>
      <c r="M154" s="6"/>
      <c r="N154" s="6"/>
      <c r="O154" s="6"/>
      <c r="P154" s="6"/>
      <c r="Q154" s="6"/>
      <c r="R154" s="11" t="s">
        <v>169</v>
      </c>
      <c r="S154" s="11" t="s">
        <v>250</v>
      </c>
      <c r="T154" s="11" t="s">
        <v>251</v>
      </c>
      <c r="U154" s="6" t="n">
        <v>2</v>
      </c>
      <c r="V154" s="11" t="s">
        <v>203</v>
      </c>
      <c r="X154" s="6" t="s">
        <v>40</v>
      </c>
      <c r="Y154" s="6" t="s">
        <v>204</v>
      </c>
      <c r="Z154" s="6" t="s">
        <v>88</v>
      </c>
      <c r="AA154" s="6" t="n">
        <v>14</v>
      </c>
      <c r="AB154" s="11"/>
      <c r="AC154" s="11" t="s">
        <v>42</v>
      </c>
    </row>
    <row r="155" customFormat="false" ht="15" hidden="false" customHeight="true" outlineLevel="0" collapsed="false">
      <c r="A155" s="6" t="s">
        <v>29</v>
      </c>
      <c r="B155" s="7" t="s">
        <v>153</v>
      </c>
      <c r="C155" s="8" t="s">
        <v>31</v>
      </c>
      <c r="D155" s="9" t="s">
        <v>103</v>
      </c>
      <c r="E155" s="8" t="s">
        <v>33</v>
      </c>
      <c r="F155" s="6" t="s">
        <v>33</v>
      </c>
      <c r="G155" s="6"/>
      <c r="H155" s="6" t="str">
        <f aca="false">IF(Table2[[#This Row],[Need Mark]]="Y",C155&amp;"-"&amp;D155&amp;"/"&amp;L155,"-")</f>
        <v>-</v>
      </c>
      <c r="I155" s="6" t="str">
        <f aca="false">IF(Table2[[#This Row],[Need Mark]]="Y",L155&amp;"/"&amp;C155&amp;"-"&amp;D155,"-")</f>
        <v>-</v>
      </c>
      <c r="J155" s="6"/>
      <c r="K155" s="6" t="s">
        <v>225</v>
      </c>
      <c r="L155" s="6" t="str">
        <f aca="false">A155&amp;"-"&amp;K155&amp;"-"&amp;Z155&amp;"("&amp;Table2[[#This Row],[Column5]]&amp;")"</f>
        <v>P4-TBSI5-M13(11)</v>
      </c>
      <c r="M155" s="6"/>
      <c r="N155" s="6"/>
      <c r="O155" s="6"/>
      <c r="P155" s="6"/>
      <c r="Q155" s="6"/>
      <c r="R155" s="11" t="s">
        <v>169</v>
      </c>
      <c r="S155" s="11" t="s">
        <v>252</v>
      </c>
      <c r="T155" s="11" t="s">
        <v>253</v>
      </c>
      <c r="U155" s="1" t="n">
        <v>1</v>
      </c>
      <c r="V155" s="11" t="s">
        <v>203</v>
      </c>
      <c r="X155" s="6" t="s">
        <v>40</v>
      </c>
      <c r="Y155" s="6" t="s">
        <v>204</v>
      </c>
      <c r="Z155" s="6" t="str">
        <f aca="false">Z156</f>
        <v>M13</v>
      </c>
      <c r="AA155" s="6" t="n">
        <v>11</v>
      </c>
      <c r="AB155" s="11"/>
      <c r="AC155" s="11" t="s">
        <v>42</v>
      </c>
    </row>
    <row r="156" customFormat="false" ht="15" hidden="false" customHeight="true" outlineLevel="0" collapsed="false">
      <c r="A156" s="6" t="s">
        <v>29</v>
      </c>
      <c r="B156" s="7" t="s">
        <v>153</v>
      </c>
      <c r="C156" s="8" t="s">
        <v>153</v>
      </c>
      <c r="D156" s="9" t="n">
        <v>31</v>
      </c>
      <c r="E156" s="8" t="s">
        <v>43</v>
      </c>
      <c r="F156" s="6" t="s">
        <v>143</v>
      </c>
      <c r="G156" s="6" t="s">
        <v>34</v>
      </c>
      <c r="H156" s="6" t="str">
        <f aca="false">IF(Table2[[#This Row],[Need Mark]]="Y",C156&amp;"-"&amp;D156&amp;"/"&amp;L156,"-")</f>
        <v>C4S2-31/P4-TBSI5-M13(14)</v>
      </c>
      <c r="I156" s="6" t="str">
        <f aca="false">IF(Table2[[#This Row],[Need Mark]]="Y",L156&amp;"/"&amp;C156&amp;"-"&amp;D156,"-")</f>
        <v>P4-TBSI5-M13(14)/C4S2-31</v>
      </c>
      <c r="J156" s="6"/>
      <c r="K156" s="6" t="s">
        <v>225</v>
      </c>
      <c r="L156" s="6" t="str">
        <f aca="false">A156&amp;"-"&amp;K156&amp;"-"&amp;Z156&amp;"("&amp;Table2[[#This Row],[Column5]]&amp;")"</f>
        <v>P4-TBSI5-M13(14)</v>
      </c>
      <c r="M156" s="6"/>
      <c r="N156" s="6"/>
      <c r="O156" s="6"/>
      <c r="P156" s="6"/>
      <c r="Q156" s="6"/>
      <c r="R156" s="11" t="s">
        <v>169</v>
      </c>
      <c r="S156" s="11" t="s">
        <v>252</v>
      </c>
      <c r="T156" s="11" t="s">
        <v>253</v>
      </c>
      <c r="U156" s="6" t="n">
        <v>2</v>
      </c>
      <c r="V156" s="11" t="s">
        <v>203</v>
      </c>
      <c r="X156" s="6" t="s">
        <v>40</v>
      </c>
      <c r="Y156" s="6" t="s">
        <v>204</v>
      </c>
      <c r="Z156" s="6" t="s">
        <v>92</v>
      </c>
      <c r="AA156" s="6" t="n">
        <v>14</v>
      </c>
      <c r="AB156" s="11"/>
      <c r="AC156" s="11" t="s">
        <v>42</v>
      </c>
    </row>
    <row r="157" customFormat="false" ht="15" hidden="false" customHeight="true" outlineLevel="0" collapsed="false">
      <c r="A157" s="6" t="s">
        <v>29</v>
      </c>
      <c r="B157" s="7" t="s">
        <v>153</v>
      </c>
      <c r="C157" s="8" t="s">
        <v>31</v>
      </c>
      <c r="D157" s="9" t="s">
        <v>103</v>
      </c>
      <c r="E157" s="8" t="s">
        <v>33</v>
      </c>
      <c r="F157" s="6" t="s">
        <v>33</v>
      </c>
      <c r="G157" s="6"/>
      <c r="H157" s="6" t="str">
        <f aca="false">IF(Table2[[#This Row],[Need Mark]]="Y",C157&amp;"-"&amp;D157&amp;"/"&amp;L157,"-")</f>
        <v>-</v>
      </c>
      <c r="I157" s="6" t="str">
        <f aca="false">IF(Table2[[#This Row],[Need Mark]]="Y",L157&amp;"/"&amp;C157&amp;"-"&amp;D157,"-")</f>
        <v>-</v>
      </c>
      <c r="J157" s="6"/>
      <c r="K157" s="6" t="s">
        <v>225</v>
      </c>
      <c r="L157" s="6" t="str">
        <f aca="false">A157&amp;"-"&amp;K157&amp;"-"&amp;Z157&amp;"("&amp;Table2[[#This Row],[Column5]]&amp;")"</f>
        <v>P4-TBSI5-M14(11)</v>
      </c>
      <c r="M157" s="6"/>
      <c r="N157" s="6"/>
      <c r="O157" s="6"/>
      <c r="P157" s="6"/>
      <c r="Q157" s="6"/>
      <c r="R157" s="11" t="s">
        <v>169</v>
      </c>
      <c r="S157" s="11" t="s">
        <v>254</v>
      </c>
      <c r="T157" s="11" t="s">
        <v>255</v>
      </c>
      <c r="U157" s="1" t="n">
        <v>1</v>
      </c>
      <c r="V157" s="11" t="s">
        <v>209</v>
      </c>
      <c r="X157" s="6" t="s">
        <v>40</v>
      </c>
      <c r="Y157" s="6" t="s">
        <v>204</v>
      </c>
      <c r="Z157" s="6" t="str">
        <f aca="false">Z158</f>
        <v>M14</v>
      </c>
      <c r="AA157" s="6" t="n">
        <v>11</v>
      </c>
      <c r="AB157" s="11"/>
      <c r="AC157" s="11" t="s">
        <v>42</v>
      </c>
    </row>
    <row r="158" customFormat="false" ht="15" hidden="false" customHeight="true" outlineLevel="0" collapsed="false">
      <c r="A158" s="6" t="s">
        <v>29</v>
      </c>
      <c r="B158" s="7" t="s">
        <v>153</v>
      </c>
      <c r="C158" s="8" t="s">
        <v>153</v>
      </c>
      <c r="D158" s="9" t="n">
        <v>32</v>
      </c>
      <c r="E158" s="8" t="s">
        <v>43</v>
      </c>
      <c r="F158" s="6" t="s">
        <v>146</v>
      </c>
      <c r="G158" s="6" t="s">
        <v>34</v>
      </c>
      <c r="H158" s="6" t="str">
        <f aca="false">IF(Table2[[#This Row],[Need Mark]]="Y",C158&amp;"-"&amp;D158&amp;"/"&amp;L158,"-")</f>
        <v>C4S2-32/P4-TBSI5-M14(14)</v>
      </c>
      <c r="I158" s="6" t="str">
        <f aca="false">IF(Table2[[#This Row],[Need Mark]]="Y",L158&amp;"/"&amp;C158&amp;"-"&amp;D158,"-")</f>
        <v>P4-TBSI5-M14(14)/C4S2-32</v>
      </c>
      <c r="J158" s="6"/>
      <c r="K158" s="6" t="s">
        <v>225</v>
      </c>
      <c r="L158" s="6" t="str">
        <f aca="false">A158&amp;"-"&amp;K158&amp;"-"&amp;Z158&amp;"("&amp;Table2[[#This Row],[Column5]]&amp;")"</f>
        <v>P4-TBSI5-M14(14)</v>
      </c>
      <c r="M158" s="6"/>
      <c r="N158" s="6"/>
      <c r="O158" s="6"/>
      <c r="P158" s="6"/>
      <c r="Q158" s="6"/>
      <c r="R158" s="11" t="s">
        <v>169</v>
      </c>
      <c r="S158" s="11" t="s">
        <v>254</v>
      </c>
      <c r="T158" s="11" t="s">
        <v>255</v>
      </c>
      <c r="U158" s="6" t="n">
        <v>2</v>
      </c>
      <c r="V158" s="11" t="s">
        <v>209</v>
      </c>
      <c r="X158" s="6" t="s">
        <v>40</v>
      </c>
      <c r="Y158" s="6" t="s">
        <v>204</v>
      </c>
      <c r="Z158" s="6" t="s">
        <v>96</v>
      </c>
      <c r="AA158" s="6" t="n">
        <v>14</v>
      </c>
      <c r="AB158" s="11"/>
      <c r="AC158" s="11" t="s">
        <v>42</v>
      </c>
    </row>
    <row r="159" customFormat="false" ht="15" hidden="false" customHeight="true" outlineLevel="0" collapsed="false">
      <c r="A159" s="6" t="s">
        <v>29</v>
      </c>
      <c r="B159" s="7" t="s">
        <v>153</v>
      </c>
      <c r="C159" s="8" t="s">
        <v>31</v>
      </c>
      <c r="D159" s="9" t="s">
        <v>103</v>
      </c>
      <c r="E159" s="8" t="s">
        <v>33</v>
      </c>
      <c r="F159" s="6" t="s">
        <v>33</v>
      </c>
      <c r="G159" s="6"/>
      <c r="H159" s="6" t="str">
        <f aca="false">IF(Table2[[#This Row],[Need Mark]]="Y",C159&amp;"-"&amp;D159&amp;"/"&amp;L159,"-")</f>
        <v>-</v>
      </c>
      <c r="I159" s="6" t="str">
        <f aca="false">IF(Table2[[#This Row],[Need Mark]]="Y",L159&amp;"/"&amp;C159&amp;"-"&amp;D159,"-")</f>
        <v>-</v>
      </c>
      <c r="J159" s="6"/>
      <c r="K159" s="6" t="s">
        <v>225</v>
      </c>
      <c r="L159" s="6" t="str">
        <f aca="false">A159&amp;"-"&amp;K159&amp;"-"&amp;Z159&amp;"("&amp;Table2[[#This Row],[Column5]]&amp;")"</f>
        <v>P4-TBSI5-M15(11)</v>
      </c>
      <c r="M159" s="6"/>
      <c r="N159" s="6"/>
      <c r="O159" s="6"/>
      <c r="P159" s="6"/>
      <c r="Q159" s="6"/>
      <c r="R159" s="11" t="s">
        <v>169</v>
      </c>
      <c r="S159" s="11" t="s">
        <v>256</v>
      </c>
      <c r="T159" s="11" t="s">
        <v>257</v>
      </c>
      <c r="U159" s="1" t="n">
        <v>1</v>
      </c>
      <c r="V159" s="11" t="s">
        <v>209</v>
      </c>
      <c r="X159" s="6" t="s">
        <v>40</v>
      </c>
      <c r="Y159" s="6" t="s">
        <v>204</v>
      </c>
      <c r="Z159" s="6" t="str">
        <f aca="false">Z160</f>
        <v>M15</v>
      </c>
      <c r="AA159" s="6" t="n">
        <v>11</v>
      </c>
      <c r="AB159" s="11"/>
      <c r="AC159" s="11" t="s">
        <v>42</v>
      </c>
    </row>
    <row r="160" customFormat="false" ht="15" hidden="false" customHeight="true" outlineLevel="0" collapsed="false">
      <c r="A160" s="6" t="s">
        <v>29</v>
      </c>
      <c r="B160" s="7" t="s">
        <v>153</v>
      </c>
      <c r="C160" s="8" t="s">
        <v>153</v>
      </c>
      <c r="D160" s="9" t="n">
        <v>33</v>
      </c>
      <c r="E160" s="8" t="s">
        <v>43</v>
      </c>
      <c r="F160" s="6" t="s">
        <v>149</v>
      </c>
      <c r="G160" s="6" t="s">
        <v>34</v>
      </c>
      <c r="H160" s="6" t="str">
        <f aca="false">IF(Table2[[#This Row],[Need Mark]]="Y",C160&amp;"-"&amp;D160&amp;"/"&amp;L160,"-")</f>
        <v>C4S2-33/P4-TBSI5-M15(14)</v>
      </c>
      <c r="I160" s="6" t="str">
        <f aca="false">IF(Table2[[#This Row],[Need Mark]]="Y",L160&amp;"/"&amp;C160&amp;"-"&amp;D160,"-")</f>
        <v>P4-TBSI5-M15(14)/C4S2-33</v>
      </c>
      <c r="J160" s="6"/>
      <c r="K160" s="6" t="s">
        <v>225</v>
      </c>
      <c r="L160" s="6" t="str">
        <f aca="false">A160&amp;"-"&amp;K160&amp;"-"&amp;Z160&amp;"("&amp;Table2[[#This Row],[Column5]]&amp;")"</f>
        <v>P4-TBSI5-M15(14)</v>
      </c>
      <c r="M160" s="6"/>
      <c r="N160" s="6"/>
      <c r="O160" s="6"/>
      <c r="P160" s="6"/>
      <c r="Q160" s="6"/>
      <c r="R160" s="11" t="s">
        <v>169</v>
      </c>
      <c r="S160" s="11" t="s">
        <v>256</v>
      </c>
      <c r="T160" s="11" t="s">
        <v>257</v>
      </c>
      <c r="U160" s="6" t="n">
        <v>2</v>
      </c>
      <c r="V160" s="11" t="s">
        <v>209</v>
      </c>
      <c r="X160" s="6" t="s">
        <v>40</v>
      </c>
      <c r="Y160" s="6" t="s">
        <v>204</v>
      </c>
      <c r="Z160" s="6" t="s">
        <v>100</v>
      </c>
      <c r="AA160" s="6" t="n">
        <v>14</v>
      </c>
      <c r="AB160" s="11"/>
      <c r="AC160" s="11" t="s">
        <v>42</v>
      </c>
    </row>
    <row r="161" customFormat="false" ht="15" hidden="false" customHeight="true" outlineLevel="0" collapsed="false">
      <c r="A161" s="6" t="s">
        <v>29</v>
      </c>
      <c r="B161" s="7" t="s">
        <v>153</v>
      </c>
      <c r="C161" s="8" t="s">
        <v>31</v>
      </c>
      <c r="D161" s="9" t="s">
        <v>103</v>
      </c>
      <c r="E161" s="8" t="s">
        <v>33</v>
      </c>
      <c r="F161" s="6" t="s">
        <v>33</v>
      </c>
      <c r="G161" s="6"/>
      <c r="H161" s="6" t="str">
        <f aca="false">IF(Table2[[#This Row],[Need Mark]]="Y",C161&amp;"-"&amp;D161&amp;"/"&amp;L161,"-")</f>
        <v>-</v>
      </c>
      <c r="I161" s="6" t="str">
        <f aca="false">IF(Table2[[#This Row],[Need Mark]]="Y",L161&amp;"/"&amp;C161&amp;"-"&amp;D161,"-")</f>
        <v>-</v>
      </c>
      <c r="J161" s="6"/>
      <c r="K161" s="6" t="s">
        <v>225</v>
      </c>
      <c r="L161" s="6" t="str">
        <f aca="false">A161&amp;"-"&amp;K161&amp;"-"&amp;Z161&amp;"("&amp;Table2[[#This Row],[Column5]]&amp;")"</f>
        <v>P4-TBSI5-M16(11)</v>
      </c>
      <c r="M161" s="6"/>
      <c r="N161" s="6"/>
      <c r="O161" s="6"/>
      <c r="P161" s="6"/>
      <c r="Q161" s="6"/>
      <c r="U161" s="1" t="n">
        <v>1</v>
      </c>
      <c r="V161" s="2" t="s">
        <v>39</v>
      </c>
      <c r="X161" s="6"/>
      <c r="Y161" s="6"/>
      <c r="Z161" s="6" t="str">
        <f aca="false">Z162</f>
        <v>M16</v>
      </c>
      <c r="AA161" s="6" t="n">
        <v>11</v>
      </c>
      <c r="AC161" s="1" t="s">
        <v>42</v>
      </c>
    </row>
    <row r="162" customFormat="false" ht="15" hidden="false" customHeight="true" outlineLevel="0" collapsed="false">
      <c r="A162" s="6" t="s">
        <v>29</v>
      </c>
      <c r="B162" s="7" t="s">
        <v>153</v>
      </c>
      <c r="C162" s="8" t="s">
        <v>153</v>
      </c>
      <c r="D162" s="9" t="n">
        <v>34</v>
      </c>
      <c r="E162" s="8" t="s">
        <v>43</v>
      </c>
      <c r="F162" s="6" t="s">
        <v>152</v>
      </c>
      <c r="G162" s="6" t="s">
        <v>34</v>
      </c>
      <c r="H162" s="6" t="str">
        <f aca="false">IF(Table2[[#This Row],[Need Mark]]="Y",C162&amp;"-"&amp;D162&amp;"/"&amp;L162,"-")</f>
        <v>C4S2-34/P4-TBSI5-M16(14)</v>
      </c>
      <c r="I162" s="6" t="str">
        <f aca="false">IF(Table2[[#This Row],[Need Mark]]="Y",L162&amp;"/"&amp;C162&amp;"-"&amp;D162,"-")</f>
        <v>P4-TBSI5-M16(14)/C4S2-34</v>
      </c>
      <c r="J162" s="6"/>
      <c r="K162" s="6" t="s">
        <v>225</v>
      </c>
      <c r="L162" s="6" t="str">
        <f aca="false">A162&amp;"-"&amp;K162&amp;"-"&amp;Z162&amp;"("&amp;Table2[[#This Row],[Column5]]&amp;")"</f>
        <v>P4-TBSI5-M16(14)</v>
      </c>
      <c r="M162" s="6"/>
      <c r="N162" s="6"/>
      <c r="O162" s="6"/>
      <c r="P162" s="6"/>
      <c r="Q162" s="6"/>
      <c r="U162" s="6" t="n">
        <v>2</v>
      </c>
      <c r="V162" s="2" t="s">
        <v>39</v>
      </c>
      <c r="X162" s="6"/>
      <c r="Y162" s="6"/>
      <c r="Z162" s="6" t="s">
        <v>102</v>
      </c>
      <c r="AA162" s="6" t="n">
        <v>14</v>
      </c>
      <c r="AC162" s="1" t="s">
        <v>42</v>
      </c>
    </row>
    <row r="163" s="1" customFormat="true" ht="15" hidden="false" customHeight="true" outlineLevel="0" collapsed="false">
      <c r="B163" s="7"/>
      <c r="D163" s="3"/>
      <c r="H163" s="1" t="str">
        <f aca="false">IF(Table2[[#This Row],[Need Mark]]="Y",C163&amp;"-"&amp;D163&amp;"/"&amp;L163,"-")</f>
        <v>-</v>
      </c>
      <c r="I163" s="1" t="str">
        <f aca="false">IF(Table2[[#This Row],[Need Mark]]="Y",L163&amp;"/"&amp;C163&amp;"-"&amp;D163,"-")</f>
        <v>-</v>
      </c>
      <c r="R163" s="11"/>
      <c r="S163" s="11"/>
      <c r="T163" s="11"/>
      <c r="U163" s="11"/>
      <c r="V163" s="11"/>
      <c r="Y163" s="6"/>
      <c r="AB163" s="11"/>
      <c r="AC163" s="11"/>
    </row>
    <row r="164" s="1" customFormat="true" ht="15" hidden="false" customHeight="true" outlineLevel="0" collapsed="false">
      <c r="B164" s="7"/>
      <c r="D164" s="3"/>
      <c r="H164" s="1" t="str">
        <f aca="false">IF(Table2[[#This Row],[Need Mark]]="Y",C164&amp;"-"&amp;D164&amp;"/"&amp;L164,"-")</f>
        <v>-</v>
      </c>
      <c r="I164" s="1" t="str">
        <f aca="false">IF(Table2[[#This Row],[Need Mark]]="Y",L164&amp;"/"&amp;C164&amp;"-"&amp;D164,"-")</f>
        <v>-</v>
      </c>
      <c r="R164" s="11"/>
      <c r="S164" s="11"/>
      <c r="T164" s="11"/>
      <c r="U164" s="11"/>
      <c r="V164" s="11"/>
      <c r="Y164" s="6"/>
      <c r="AB164" s="11"/>
      <c r="AC164" s="11"/>
    </row>
    <row r="165" customFormat="false" ht="15.75" hidden="false" customHeight="true" outlineLevel="0" collapsed="false">
      <c r="B165" s="7"/>
      <c r="L165" s="1"/>
      <c r="X165" s="1"/>
    </row>
    <row r="166" customFormat="false" ht="15.75" hidden="false" customHeight="true" outlineLevel="0" collapsed="false">
      <c r="B166" s="7"/>
      <c r="L166" s="1"/>
      <c r="X166" s="1"/>
    </row>
    <row r="167" customFormat="false" ht="15.75" hidden="false" customHeight="true" outlineLevel="0" collapsed="false">
      <c r="B167" s="7"/>
      <c r="L167" s="1"/>
      <c r="X167" s="1"/>
    </row>
    <row r="168" customFormat="false" ht="15.75" hidden="false" customHeight="true" outlineLevel="0" collapsed="false">
      <c r="B168" s="7"/>
      <c r="L168" s="1"/>
      <c r="X168" s="1"/>
    </row>
    <row r="169" customFormat="false" ht="15.75" hidden="false" customHeight="true" outlineLevel="0" collapsed="false">
      <c r="B169" s="7"/>
      <c r="L169" s="1"/>
      <c r="X169" s="1"/>
    </row>
    <row r="170" customFormat="false" ht="15.75" hidden="false" customHeight="true" outlineLevel="0" collapsed="false">
      <c r="B170" s="7"/>
      <c r="L170" s="1"/>
      <c r="X170" s="1"/>
    </row>
    <row r="171" customFormat="false" ht="15.75" hidden="false" customHeight="true" outlineLevel="0" collapsed="false">
      <c r="B171" s="7"/>
      <c r="L171" s="1"/>
      <c r="X171" s="1"/>
    </row>
    <row r="172" customFormat="false" ht="15.75" hidden="false" customHeight="true" outlineLevel="0" collapsed="false">
      <c r="B172" s="7"/>
      <c r="L172" s="1"/>
      <c r="X172" s="1"/>
    </row>
    <row r="173" customFormat="false" ht="15.75" hidden="false" customHeight="true" outlineLevel="0" collapsed="false">
      <c r="B173" s="7"/>
      <c r="L173" s="1"/>
      <c r="X173" s="1"/>
    </row>
    <row r="174" customFormat="false" ht="15.75" hidden="false" customHeight="true" outlineLevel="0" collapsed="false">
      <c r="B174" s="7"/>
      <c r="L174" s="1"/>
      <c r="X17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1875" defaultRowHeight="15" customHeight="false" zeroHeight="false" outlineLevelRow="0" outlineLevelCol="0"/>
  <cols>
    <col collapsed="false" customWidth="true" hidden="false" outlineLevel="0" max="2" min="1" style="2" width="10"/>
    <col collapsed="false" customWidth="true" hidden="false" outlineLevel="0" max="3" min="3" style="2" width="11"/>
    <col collapsed="false" customWidth="true" hidden="false" outlineLevel="0" max="4" min="4" style="2" width="12"/>
    <col collapsed="false" customWidth="true" hidden="false" outlineLevel="0" max="5" min="5" style="2" width="10"/>
    <col collapsed="false" customWidth="true" hidden="false" outlineLevel="0" max="9" min="6" style="2" width="11"/>
    <col collapsed="false" customWidth="true" hidden="false" outlineLevel="0" max="11" min="10" style="2" width="39"/>
    <col collapsed="false" customWidth="true" hidden="false" outlineLevel="0" max="12" min="12" style="2" width="15"/>
    <col collapsed="false" customWidth="true" hidden="false" outlineLevel="0" max="13" min="13" style="2" width="14"/>
    <col collapsed="false" customWidth="true" hidden="false" outlineLevel="0" max="14" min="14" style="2" width="18"/>
    <col collapsed="false" customWidth="true" hidden="false" outlineLevel="0" max="15" min="15" style="2" width="22"/>
    <col collapsed="false" customWidth="true" hidden="false" outlineLevel="0" max="16" min="16" style="2" width="36"/>
    <col collapsed="false" customWidth="true" hidden="false" outlineLevel="0" max="17" min="17" style="2" width="35"/>
    <col collapsed="false" customWidth="true" hidden="false" outlineLevel="0" max="18" min="18" style="2" width="10"/>
    <col collapsed="false" customWidth="true" hidden="false" outlineLevel="0" max="19" min="19" style="2" width="31"/>
    <col collapsed="false" customWidth="true" hidden="false" outlineLevel="0" max="20" min="20" style="2" width="30"/>
    <col collapsed="false" customWidth="true" hidden="false" outlineLevel="0" max="23" min="21" style="2" width="10"/>
    <col collapsed="false" customWidth="true" hidden="false" outlineLevel="0" max="24" min="24" style="2" width="11"/>
  </cols>
  <sheetData>
    <row r="1" customFormat="false" ht="15" hidden="false" customHeight="true" outlineLevel="0" collapsed="false">
      <c r="A1" s="12" t="s">
        <v>258</v>
      </c>
      <c r="B1" s="12" t="s">
        <v>259</v>
      </c>
      <c r="C1" s="12" t="s">
        <v>260</v>
      </c>
      <c r="D1" s="12" t="s">
        <v>6</v>
      </c>
      <c r="E1" s="12" t="s">
        <v>1</v>
      </c>
      <c r="F1" s="12" t="s">
        <v>261</v>
      </c>
      <c r="G1" s="12" t="s">
        <v>262</v>
      </c>
      <c r="H1" s="12" t="s">
        <v>4</v>
      </c>
      <c r="I1" s="12" t="s">
        <v>5</v>
      </c>
      <c r="J1" s="12" t="s">
        <v>7</v>
      </c>
      <c r="K1" s="12" t="s">
        <v>8</v>
      </c>
      <c r="L1" s="12" t="s">
        <v>17</v>
      </c>
      <c r="M1" s="12" t="s">
        <v>18</v>
      </c>
      <c r="N1" s="12" t="s">
        <v>19</v>
      </c>
      <c r="O1" s="12" t="s">
        <v>20</v>
      </c>
      <c r="P1" s="12" t="s">
        <v>21</v>
      </c>
      <c r="Q1" s="12" t="s">
        <v>11</v>
      </c>
      <c r="R1" s="12" t="s">
        <v>10</v>
      </c>
      <c r="S1" s="12" t="s">
        <v>23</v>
      </c>
      <c r="T1" s="12" t="s">
        <v>24</v>
      </c>
      <c r="U1" s="12" t="s">
        <v>25</v>
      </c>
      <c r="V1" s="12" t="s">
        <v>26</v>
      </c>
      <c r="W1" s="12" t="s">
        <v>27</v>
      </c>
      <c r="X1" s="12" t="s">
        <v>28</v>
      </c>
    </row>
    <row r="2" customFormat="false" ht="15" hidden="false" customHeight="true" outlineLevel="0" collapsed="false">
      <c r="A2" s="7" t="s">
        <v>263</v>
      </c>
      <c r="B2" s="13" t="str">
        <f aca="false">T2</f>
        <v>1756-IB32</v>
      </c>
      <c r="C2" s="13"/>
      <c r="D2" s="7" t="s">
        <v>34</v>
      </c>
      <c r="E2" s="7" t="s">
        <v>264</v>
      </c>
      <c r="F2" s="7" t="s">
        <v>31</v>
      </c>
      <c r="G2" s="7" t="s">
        <v>32</v>
      </c>
      <c r="H2" s="7" t="s">
        <v>33</v>
      </c>
      <c r="I2" s="7" t="s">
        <v>33</v>
      </c>
      <c r="J2" s="13" t="str">
        <f aca="false">IF(D2="Y",F2&amp;"-"&amp;G2&amp;"/"&amp;Q2,"-")</f>
        <v>TB-24VDC-2(1)/P1-TBDI1-1(11)</v>
      </c>
      <c r="K2" s="13" t="str">
        <f aca="false">IF(D2="Y",Q2&amp;"/"&amp;F2&amp;"-"&amp;G2,"-")</f>
        <v>P1-TBDI1-1(11)/TB-24VDC-2(1)</v>
      </c>
      <c r="L2" s="7" t="s">
        <v>265</v>
      </c>
      <c r="M2" s="13" t="s">
        <v>266</v>
      </c>
      <c r="N2" s="13" t="s">
        <v>267</v>
      </c>
      <c r="O2" s="7" t="n">
        <v>1</v>
      </c>
      <c r="P2" s="13" t="s">
        <v>268</v>
      </c>
      <c r="Q2" s="13" t="str">
        <f aca="false">A2&amp;"-"&amp;R2&amp;"-"&amp;U2&amp;"("&amp;V2&amp;")"</f>
        <v>P1-TBDI1-1(11)</v>
      </c>
      <c r="R2" s="7" t="s">
        <v>269</v>
      </c>
      <c r="S2" s="7" t="s">
        <v>270</v>
      </c>
      <c r="T2" s="7" t="s">
        <v>271</v>
      </c>
      <c r="U2" s="7" t="n">
        <f aca="false">U3</f>
        <v>1</v>
      </c>
      <c r="V2" s="7" t="n">
        <v>11</v>
      </c>
      <c r="W2" s="13"/>
      <c r="X2" s="7" t="s">
        <v>272</v>
      </c>
    </row>
    <row r="3" customFormat="false" ht="15" hidden="false" customHeight="true" outlineLevel="0" collapsed="false">
      <c r="A3" s="7" t="s">
        <v>263</v>
      </c>
      <c r="B3" s="13" t="str">
        <f aca="false">T3</f>
        <v>1756-IB32</v>
      </c>
      <c r="C3" s="13"/>
      <c r="D3" s="7" t="s">
        <v>34</v>
      </c>
      <c r="E3" s="7" t="s">
        <v>264</v>
      </c>
      <c r="F3" s="7" t="s">
        <v>264</v>
      </c>
      <c r="G3" s="7" t="n">
        <v>1</v>
      </c>
      <c r="H3" s="7" t="s">
        <v>43</v>
      </c>
      <c r="I3" s="7" t="s">
        <v>44</v>
      </c>
      <c r="J3" s="13" t="str">
        <f aca="false">IF(D3="Y",F3&amp;"-"&amp;G3&amp;"/"&amp;Q3,"-")</f>
        <v>C1S4-1/P1-TBDI1-1(14)</v>
      </c>
      <c r="K3" s="13" t="str">
        <f aca="false">IF(D3="Y",Q3&amp;"/"&amp;F3&amp;"-"&amp;G3,"-")</f>
        <v>P1-TBDI1-1(14)/C1S4-1</v>
      </c>
      <c r="L3" s="7" t="s">
        <v>265</v>
      </c>
      <c r="M3" s="13" t="s">
        <v>266</v>
      </c>
      <c r="N3" s="13" t="s">
        <v>267</v>
      </c>
      <c r="O3" s="7" t="n">
        <v>1</v>
      </c>
      <c r="P3" s="13" t="s">
        <v>268</v>
      </c>
      <c r="Q3" s="13" t="str">
        <f aca="false">A3&amp;"-"&amp;R3&amp;"-"&amp;U3&amp;"("&amp;V3&amp;")"</f>
        <v>P1-TBDI1-1(14)</v>
      </c>
      <c r="R3" s="7" t="s">
        <v>269</v>
      </c>
      <c r="S3" s="7" t="s">
        <v>270</v>
      </c>
      <c r="T3" s="7" t="s">
        <v>271</v>
      </c>
      <c r="U3" s="7" t="n">
        <v>1</v>
      </c>
      <c r="V3" s="7" t="n">
        <v>14</v>
      </c>
      <c r="W3" s="13"/>
      <c r="X3" s="7" t="s">
        <v>272</v>
      </c>
    </row>
    <row r="4" customFormat="false" ht="15" hidden="false" customHeight="true" outlineLevel="0" collapsed="false">
      <c r="A4" s="7" t="s">
        <v>263</v>
      </c>
      <c r="B4" s="13" t="str">
        <f aca="false">T4</f>
        <v>1756-IB32</v>
      </c>
      <c r="C4" s="13"/>
      <c r="D4" s="7" t="s">
        <v>34</v>
      </c>
      <c r="E4" s="7" t="s">
        <v>264</v>
      </c>
      <c r="F4" s="7" t="s">
        <v>31</v>
      </c>
      <c r="G4" s="7" t="s">
        <v>32</v>
      </c>
      <c r="H4" s="7" t="s">
        <v>33</v>
      </c>
      <c r="I4" s="7" t="s">
        <v>33</v>
      </c>
      <c r="J4" s="13" t="str">
        <f aca="false">IF(D4="Y",F4&amp;"-"&amp;G4&amp;"/"&amp;Q4,"-")</f>
        <v>TB-24VDC-2(1)/P1-TBDI1-2(11)</v>
      </c>
      <c r="K4" s="13" t="str">
        <f aca="false">IF(D4="Y",Q4&amp;"/"&amp;F4&amp;"-"&amp;G4,"-")</f>
        <v>P1-TBDI1-2(11)/TB-24VDC-2(1)</v>
      </c>
      <c r="L4" s="7" t="s">
        <v>265</v>
      </c>
      <c r="M4" s="13" t="s">
        <v>266</v>
      </c>
      <c r="N4" s="13" t="s">
        <v>267</v>
      </c>
      <c r="O4" s="7" t="n">
        <v>1</v>
      </c>
      <c r="P4" s="13" t="s">
        <v>268</v>
      </c>
      <c r="Q4" s="13" t="str">
        <f aca="false">A4&amp;"-"&amp;R4&amp;"-"&amp;U4&amp;"("&amp;V4&amp;")"</f>
        <v>P1-TBDI1-2(11)</v>
      </c>
      <c r="R4" s="7" t="s">
        <v>269</v>
      </c>
      <c r="S4" s="7" t="s">
        <v>270</v>
      </c>
      <c r="T4" s="7" t="s">
        <v>271</v>
      </c>
      <c r="U4" s="7" t="n">
        <f aca="false">U5</f>
        <v>2</v>
      </c>
      <c r="V4" s="7" t="n">
        <v>11</v>
      </c>
      <c r="W4" s="13"/>
      <c r="X4" s="7" t="s">
        <v>272</v>
      </c>
    </row>
    <row r="5" customFormat="false" ht="15" hidden="false" customHeight="true" outlineLevel="0" collapsed="false">
      <c r="A5" s="7" t="s">
        <v>263</v>
      </c>
      <c r="B5" s="13" t="str">
        <f aca="false">T5</f>
        <v>1756-IB32</v>
      </c>
      <c r="C5" s="13"/>
      <c r="D5" s="7" t="s">
        <v>34</v>
      </c>
      <c r="E5" s="7" t="s">
        <v>264</v>
      </c>
      <c r="F5" s="7" t="s">
        <v>264</v>
      </c>
      <c r="G5" s="7" t="n">
        <v>2</v>
      </c>
      <c r="H5" s="7" t="s">
        <v>43</v>
      </c>
      <c r="I5" s="7" t="s">
        <v>48</v>
      </c>
      <c r="J5" s="13" t="str">
        <f aca="false">IF(D5="Y",F5&amp;"-"&amp;G5&amp;"/"&amp;Q5,"-")</f>
        <v>C1S4-2/P1-TBDI1-2(14)</v>
      </c>
      <c r="K5" s="13" t="str">
        <f aca="false">IF(D5="Y",Q5&amp;"/"&amp;F5&amp;"-"&amp;G5,"-")</f>
        <v>P1-TBDI1-2(14)/C1S4-2</v>
      </c>
      <c r="L5" s="7" t="s">
        <v>265</v>
      </c>
      <c r="M5" s="13" t="s">
        <v>266</v>
      </c>
      <c r="N5" s="13" t="s">
        <v>267</v>
      </c>
      <c r="O5" s="7" t="n">
        <v>1</v>
      </c>
      <c r="P5" s="13" t="s">
        <v>268</v>
      </c>
      <c r="Q5" s="13" t="str">
        <f aca="false">A5&amp;"-"&amp;R5&amp;"-"&amp;U5&amp;"("&amp;V5&amp;")"</f>
        <v>P1-TBDI1-2(14)</v>
      </c>
      <c r="R5" s="7" t="s">
        <v>269</v>
      </c>
      <c r="S5" s="7" t="s">
        <v>270</v>
      </c>
      <c r="T5" s="7" t="s">
        <v>271</v>
      </c>
      <c r="U5" s="7" t="n">
        <v>2</v>
      </c>
      <c r="V5" s="7" t="n">
        <v>14</v>
      </c>
      <c r="W5" s="13"/>
      <c r="X5" s="7" t="s">
        <v>272</v>
      </c>
    </row>
    <row r="6" customFormat="false" ht="15" hidden="false" customHeight="true" outlineLevel="0" collapsed="false">
      <c r="A6" s="7" t="s">
        <v>263</v>
      </c>
      <c r="B6" s="13" t="str">
        <f aca="false">T6</f>
        <v>1756-IB32</v>
      </c>
      <c r="C6" s="13"/>
      <c r="D6" s="7" t="s">
        <v>34</v>
      </c>
      <c r="E6" s="7" t="s">
        <v>264</v>
      </c>
      <c r="F6" s="7" t="s">
        <v>31</v>
      </c>
      <c r="G6" s="7" t="s">
        <v>32</v>
      </c>
      <c r="H6" s="7" t="s">
        <v>33</v>
      </c>
      <c r="I6" s="7" t="s">
        <v>33</v>
      </c>
      <c r="J6" s="13" t="str">
        <f aca="false">IF(D6="Y",F6&amp;"-"&amp;G6&amp;"/"&amp;Q6,"-")</f>
        <v>TB-24VDC-2(1)/P1-TBDI1-3(11)</v>
      </c>
      <c r="K6" s="13" t="str">
        <f aca="false">IF(D6="Y",Q6&amp;"/"&amp;F6&amp;"-"&amp;G6,"-")</f>
        <v>P1-TBDI1-3(11)/TB-24VDC-2(1)</v>
      </c>
      <c r="L6" s="7" t="s">
        <v>265</v>
      </c>
      <c r="M6" s="13" t="s">
        <v>266</v>
      </c>
      <c r="N6" s="13" t="s">
        <v>267</v>
      </c>
      <c r="O6" s="7" t="n">
        <v>1</v>
      </c>
      <c r="P6" s="13" t="s">
        <v>268</v>
      </c>
      <c r="Q6" s="13" t="str">
        <f aca="false">A6&amp;"-"&amp;R6&amp;"-"&amp;U6&amp;"("&amp;V6&amp;")"</f>
        <v>P1-TBDI1-3(11)</v>
      </c>
      <c r="R6" s="7" t="s">
        <v>269</v>
      </c>
      <c r="S6" s="7" t="s">
        <v>270</v>
      </c>
      <c r="T6" s="7" t="s">
        <v>271</v>
      </c>
      <c r="U6" s="7" t="n">
        <f aca="false">U7</f>
        <v>3</v>
      </c>
      <c r="V6" s="7" t="n">
        <v>11</v>
      </c>
      <c r="W6" s="13"/>
      <c r="X6" s="7" t="s">
        <v>272</v>
      </c>
    </row>
    <row r="7" customFormat="false" ht="15" hidden="false" customHeight="true" outlineLevel="0" collapsed="false">
      <c r="A7" s="7" t="s">
        <v>263</v>
      </c>
      <c r="B7" s="13" t="str">
        <f aca="false">T7</f>
        <v>1756-IB32</v>
      </c>
      <c r="C7" s="13"/>
      <c r="D7" s="7" t="s">
        <v>34</v>
      </c>
      <c r="E7" s="7" t="s">
        <v>264</v>
      </c>
      <c r="F7" s="7" t="s">
        <v>264</v>
      </c>
      <c r="G7" s="7" t="n">
        <v>3</v>
      </c>
      <c r="H7" s="7" t="s">
        <v>43</v>
      </c>
      <c r="I7" s="7" t="s">
        <v>52</v>
      </c>
      <c r="J7" s="13" t="str">
        <f aca="false">IF(D7="Y",F7&amp;"-"&amp;G7&amp;"/"&amp;Q7,"-")</f>
        <v>C1S4-3/P1-TBDI1-3(14)</v>
      </c>
      <c r="K7" s="13" t="str">
        <f aca="false">IF(D7="Y",Q7&amp;"/"&amp;F7&amp;"-"&amp;G7,"-")</f>
        <v>P1-TBDI1-3(14)/C1S4-3</v>
      </c>
      <c r="L7" s="7" t="s">
        <v>265</v>
      </c>
      <c r="M7" s="13" t="s">
        <v>266</v>
      </c>
      <c r="N7" s="13" t="s">
        <v>267</v>
      </c>
      <c r="O7" s="7" t="n">
        <v>1</v>
      </c>
      <c r="P7" s="13" t="s">
        <v>268</v>
      </c>
      <c r="Q7" s="13" t="str">
        <f aca="false">A7&amp;"-"&amp;R7&amp;"-"&amp;U7&amp;"("&amp;V7&amp;")"</f>
        <v>P1-TBDI1-3(14)</v>
      </c>
      <c r="R7" s="7" t="s">
        <v>269</v>
      </c>
      <c r="S7" s="7" t="s">
        <v>270</v>
      </c>
      <c r="T7" s="7" t="s">
        <v>271</v>
      </c>
      <c r="U7" s="7" t="n">
        <v>3</v>
      </c>
      <c r="V7" s="7" t="n">
        <v>14</v>
      </c>
      <c r="W7" s="13"/>
      <c r="X7" s="7" t="s">
        <v>272</v>
      </c>
    </row>
    <row r="8" customFormat="false" ht="15" hidden="false" customHeight="true" outlineLevel="0" collapsed="false">
      <c r="A8" s="7" t="s">
        <v>263</v>
      </c>
      <c r="B8" s="13" t="str">
        <f aca="false">T8</f>
        <v>1756-IB32</v>
      </c>
      <c r="C8" s="13"/>
      <c r="D8" s="7" t="s">
        <v>34</v>
      </c>
      <c r="E8" s="7" t="s">
        <v>264</v>
      </c>
      <c r="F8" s="7" t="s">
        <v>31</v>
      </c>
      <c r="G8" s="7" t="s">
        <v>32</v>
      </c>
      <c r="H8" s="7" t="s">
        <v>33</v>
      </c>
      <c r="I8" s="7" t="s">
        <v>33</v>
      </c>
      <c r="J8" s="13" t="str">
        <f aca="false">IF(D8="Y",F8&amp;"-"&amp;G8&amp;"/"&amp;Q8,"-")</f>
        <v>TB-24VDC-2(1)/P1-TBDI1-4(11)</v>
      </c>
      <c r="K8" s="13" t="str">
        <f aca="false">IF(D8="Y",Q8&amp;"/"&amp;F8&amp;"-"&amp;G8,"-")</f>
        <v>P1-TBDI1-4(11)/TB-24VDC-2(1)</v>
      </c>
      <c r="L8" s="7" t="s">
        <v>265</v>
      </c>
      <c r="M8" s="13" t="s">
        <v>266</v>
      </c>
      <c r="N8" s="13" t="s">
        <v>267</v>
      </c>
      <c r="O8" s="7" t="n">
        <v>1</v>
      </c>
      <c r="P8" s="13" t="s">
        <v>268</v>
      </c>
      <c r="Q8" s="13" t="str">
        <f aca="false">A8&amp;"-"&amp;R8&amp;"-"&amp;U8&amp;"("&amp;V8&amp;")"</f>
        <v>P1-TBDI1-4(11)</v>
      </c>
      <c r="R8" s="7" t="s">
        <v>269</v>
      </c>
      <c r="S8" s="7" t="s">
        <v>270</v>
      </c>
      <c r="T8" s="7" t="s">
        <v>271</v>
      </c>
      <c r="U8" s="7" t="n">
        <f aca="false">U9</f>
        <v>4</v>
      </c>
      <c r="V8" s="7" t="n">
        <v>11</v>
      </c>
      <c r="W8" s="13"/>
      <c r="X8" s="7" t="s">
        <v>272</v>
      </c>
    </row>
    <row r="9" customFormat="false" ht="15" hidden="false" customHeight="true" outlineLevel="0" collapsed="false">
      <c r="A9" s="7" t="s">
        <v>263</v>
      </c>
      <c r="B9" s="13" t="str">
        <f aca="false">T9</f>
        <v>1756-IB32</v>
      </c>
      <c r="C9" s="13"/>
      <c r="D9" s="7" t="s">
        <v>34</v>
      </c>
      <c r="E9" s="7" t="s">
        <v>264</v>
      </c>
      <c r="F9" s="7" t="s">
        <v>264</v>
      </c>
      <c r="G9" s="7" t="n">
        <v>4</v>
      </c>
      <c r="H9" s="7" t="s">
        <v>43</v>
      </c>
      <c r="I9" s="7" t="s">
        <v>55</v>
      </c>
      <c r="J9" s="13" t="str">
        <f aca="false">IF(D9="Y",F9&amp;"-"&amp;G9&amp;"/"&amp;Q9,"-")</f>
        <v>C1S4-4/P1-TBDI1-4(14)</v>
      </c>
      <c r="K9" s="13" t="str">
        <f aca="false">IF(D9="Y",Q9&amp;"/"&amp;F9&amp;"-"&amp;G9,"-")</f>
        <v>P1-TBDI1-4(14)/C1S4-4</v>
      </c>
      <c r="L9" s="7" t="s">
        <v>265</v>
      </c>
      <c r="M9" s="13" t="s">
        <v>266</v>
      </c>
      <c r="N9" s="13" t="s">
        <v>267</v>
      </c>
      <c r="O9" s="7" t="n">
        <v>1</v>
      </c>
      <c r="P9" s="13" t="s">
        <v>268</v>
      </c>
      <c r="Q9" s="13" t="str">
        <f aca="false">A9&amp;"-"&amp;R9&amp;"-"&amp;U9&amp;"("&amp;V9&amp;")"</f>
        <v>P1-TBDI1-4(14)</v>
      </c>
      <c r="R9" s="7" t="s">
        <v>269</v>
      </c>
      <c r="S9" s="7" t="s">
        <v>270</v>
      </c>
      <c r="T9" s="7" t="s">
        <v>271</v>
      </c>
      <c r="U9" s="7" t="n">
        <v>4</v>
      </c>
      <c r="V9" s="7" t="n">
        <v>14</v>
      </c>
      <c r="W9" s="13"/>
      <c r="X9" s="7" t="s">
        <v>272</v>
      </c>
    </row>
    <row r="10" customFormat="false" ht="15" hidden="false" customHeight="true" outlineLevel="0" collapsed="false">
      <c r="A10" s="7" t="s">
        <v>263</v>
      </c>
      <c r="B10" s="13" t="str">
        <f aca="false">T10</f>
        <v>1756-IB32</v>
      </c>
      <c r="C10" s="13"/>
      <c r="D10" s="7" t="s">
        <v>34</v>
      </c>
      <c r="E10" s="7" t="s">
        <v>264</v>
      </c>
      <c r="F10" s="7" t="s">
        <v>31</v>
      </c>
      <c r="G10" s="7" t="s">
        <v>32</v>
      </c>
      <c r="H10" s="7" t="s">
        <v>33</v>
      </c>
      <c r="I10" s="7" t="s">
        <v>33</v>
      </c>
      <c r="J10" s="13" t="str">
        <f aca="false">IF(D10="Y",F10&amp;"-"&amp;G10&amp;"/"&amp;Q10,"-")</f>
        <v>TB-24VDC-2(1)/P1-TBDI1-5(11)</v>
      </c>
      <c r="K10" s="13" t="str">
        <f aca="false">IF(D10="Y",Q10&amp;"/"&amp;F10&amp;"-"&amp;G10,"-")</f>
        <v>P1-TBDI1-5(11)/TB-24VDC-2(1)</v>
      </c>
      <c r="L10" s="7" t="s">
        <v>265</v>
      </c>
      <c r="M10" s="13" t="s">
        <v>266</v>
      </c>
      <c r="N10" s="13" t="s">
        <v>267</v>
      </c>
      <c r="O10" s="7" t="n">
        <v>1</v>
      </c>
      <c r="P10" s="13" t="s">
        <v>268</v>
      </c>
      <c r="Q10" s="13" t="str">
        <f aca="false">A10&amp;"-"&amp;R10&amp;"-"&amp;U10&amp;"("&amp;V10&amp;")"</f>
        <v>P1-TBDI1-5(11)</v>
      </c>
      <c r="R10" s="7" t="s">
        <v>269</v>
      </c>
      <c r="S10" s="7" t="s">
        <v>270</v>
      </c>
      <c r="T10" s="7" t="s">
        <v>271</v>
      </c>
      <c r="U10" s="7" t="n">
        <f aca="false">U11</f>
        <v>5</v>
      </c>
      <c r="V10" s="7" t="n">
        <v>11</v>
      </c>
      <c r="W10" s="13"/>
      <c r="X10" s="7" t="s">
        <v>272</v>
      </c>
    </row>
    <row r="11" customFormat="false" ht="15" hidden="false" customHeight="true" outlineLevel="0" collapsed="false">
      <c r="A11" s="7" t="s">
        <v>263</v>
      </c>
      <c r="B11" s="13" t="str">
        <f aca="false">T11</f>
        <v>1756-IB32</v>
      </c>
      <c r="C11" s="13"/>
      <c r="D11" s="7" t="s">
        <v>34</v>
      </c>
      <c r="E11" s="7" t="s">
        <v>264</v>
      </c>
      <c r="F11" s="7" t="s">
        <v>264</v>
      </c>
      <c r="G11" s="7" t="n">
        <v>5</v>
      </c>
      <c r="H11" s="7" t="s">
        <v>43</v>
      </c>
      <c r="I11" s="7" t="s">
        <v>59</v>
      </c>
      <c r="J11" s="13" t="str">
        <f aca="false">IF(D11="Y",F11&amp;"-"&amp;G11&amp;"/"&amp;Q11,"-")</f>
        <v>C1S4-5/P1-TBDI1-5(14)</v>
      </c>
      <c r="K11" s="13" t="str">
        <f aca="false">IF(D11="Y",Q11&amp;"/"&amp;F11&amp;"-"&amp;G11,"-")</f>
        <v>P1-TBDI1-5(14)/C1S4-5</v>
      </c>
      <c r="L11" s="7" t="s">
        <v>265</v>
      </c>
      <c r="M11" s="13" t="s">
        <v>266</v>
      </c>
      <c r="N11" s="13" t="s">
        <v>267</v>
      </c>
      <c r="O11" s="7" t="n">
        <v>1</v>
      </c>
      <c r="P11" s="13" t="s">
        <v>268</v>
      </c>
      <c r="Q11" s="13" t="str">
        <f aca="false">A11&amp;"-"&amp;R11&amp;"-"&amp;U11&amp;"("&amp;V11&amp;")"</f>
        <v>P1-TBDI1-5(14)</v>
      </c>
      <c r="R11" s="7" t="s">
        <v>269</v>
      </c>
      <c r="S11" s="7" t="s">
        <v>270</v>
      </c>
      <c r="T11" s="7" t="s">
        <v>271</v>
      </c>
      <c r="U11" s="7" t="n">
        <v>5</v>
      </c>
      <c r="V11" s="7" t="n">
        <v>14</v>
      </c>
      <c r="W11" s="13"/>
      <c r="X11" s="7" t="s">
        <v>272</v>
      </c>
    </row>
    <row r="12" customFormat="false" ht="15" hidden="false" customHeight="true" outlineLevel="0" collapsed="false">
      <c r="A12" s="7" t="s">
        <v>263</v>
      </c>
      <c r="B12" s="13" t="str">
        <f aca="false">T12</f>
        <v>1756-IB32</v>
      </c>
      <c r="C12" s="13"/>
      <c r="D12" s="7" t="s">
        <v>34</v>
      </c>
      <c r="E12" s="7" t="s">
        <v>264</v>
      </c>
      <c r="F12" s="7" t="s">
        <v>31</v>
      </c>
      <c r="G12" s="7" t="s">
        <v>32</v>
      </c>
      <c r="H12" s="7" t="s">
        <v>33</v>
      </c>
      <c r="I12" s="7" t="s">
        <v>33</v>
      </c>
      <c r="J12" s="13" t="str">
        <f aca="false">IF(D12="Y",F12&amp;"-"&amp;G12&amp;"/"&amp;Q12,"-")</f>
        <v>TB-24VDC-2(1)/P1-TBDI1-6(11)</v>
      </c>
      <c r="K12" s="13" t="str">
        <f aca="false">IF(D12="Y",Q12&amp;"/"&amp;F12&amp;"-"&amp;G12,"-")</f>
        <v>P1-TBDI1-6(11)/TB-24VDC-2(1)</v>
      </c>
      <c r="L12" s="7" t="s">
        <v>265</v>
      </c>
      <c r="M12" s="13" t="s">
        <v>266</v>
      </c>
      <c r="N12" s="13" t="s">
        <v>267</v>
      </c>
      <c r="O12" s="7" t="n">
        <v>1</v>
      </c>
      <c r="P12" s="13" t="s">
        <v>268</v>
      </c>
      <c r="Q12" s="13" t="str">
        <f aca="false">A12&amp;"-"&amp;R12&amp;"-"&amp;U12&amp;"("&amp;V12&amp;")"</f>
        <v>P1-TBDI1-6(11)</v>
      </c>
      <c r="R12" s="7" t="s">
        <v>269</v>
      </c>
      <c r="S12" s="7" t="s">
        <v>270</v>
      </c>
      <c r="T12" s="7" t="s">
        <v>271</v>
      </c>
      <c r="U12" s="7" t="n">
        <f aca="false">U13</f>
        <v>6</v>
      </c>
      <c r="V12" s="7" t="n">
        <v>11</v>
      </c>
      <c r="W12" s="13"/>
      <c r="X12" s="7" t="s">
        <v>272</v>
      </c>
    </row>
    <row r="13" customFormat="false" ht="15" hidden="false" customHeight="true" outlineLevel="0" collapsed="false">
      <c r="A13" s="7" t="s">
        <v>263</v>
      </c>
      <c r="B13" s="13" t="str">
        <f aca="false">T13</f>
        <v>1756-IB32</v>
      </c>
      <c r="C13" s="13"/>
      <c r="D13" s="7" t="s">
        <v>34</v>
      </c>
      <c r="E13" s="7" t="s">
        <v>264</v>
      </c>
      <c r="F13" s="7" t="s">
        <v>264</v>
      </c>
      <c r="G13" s="7" t="n">
        <v>6</v>
      </c>
      <c r="H13" s="7" t="s">
        <v>43</v>
      </c>
      <c r="I13" s="7" t="s">
        <v>63</v>
      </c>
      <c r="J13" s="13" t="str">
        <f aca="false">IF(D13="Y",F13&amp;"-"&amp;G13&amp;"/"&amp;Q13,"-")</f>
        <v>C1S4-6/P1-TBDI1-6(14)</v>
      </c>
      <c r="K13" s="13" t="str">
        <f aca="false">IF(D13="Y",Q13&amp;"/"&amp;F13&amp;"-"&amp;G13,"-")</f>
        <v>P1-TBDI1-6(14)/C1S4-6</v>
      </c>
      <c r="L13" s="7" t="s">
        <v>265</v>
      </c>
      <c r="M13" s="13" t="s">
        <v>266</v>
      </c>
      <c r="N13" s="13" t="s">
        <v>267</v>
      </c>
      <c r="O13" s="7" t="n">
        <v>1</v>
      </c>
      <c r="P13" s="13" t="s">
        <v>268</v>
      </c>
      <c r="Q13" s="13" t="str">
        <f aca="false">A13&amp;"-"&amp;R13&amp;"-"&amp;U13&amp;"("&amp;V13&amp;")"</f>
        <v>P1-TBDI1-6(14)</v>
      </c>
      <c r="R13" s="7" t="s">
        <v>269</v>
      </c>
      <c r="S13" s="7" t="s">
        <v>270</v>
      </c>
      <c r="T13" s="7" t="s">
        <v>271</v>
      </c>
      <c r="U13" s="7" t="n">
        <v>6</v>
      </c>
      <c r="V13" s="7" t="n">
        <v>14</v>
      </c>
      <c r="W13" s="13"/>
      <c r="X13" s="7" t="s">
        <v>272</v>
      </c>
    </row>
    <row r="14" customFormat="false" ht="15" hidden="false" customHeight="true" outlineLevel="0" collapsed="false">
      <c r="A14" s="7" t="s">
        <v>263</v>
      </c>
      <c r="B14" s="13" t="str">
        <f aca="false">T14</f>
        <v>1756-IB32</v>
      </c>
      <c r="C14" s="13"/>
      <c r="D14" s="7" t="s">
        <v>34</v>
      </c>
      <c r="E14" s="7" t="s">
        <v>264</v>
      </c>
      <c r="F14" s="7" t="s">
        <v>31</v>
      </c>
      <c r="G14" s="7" t="s">
        <v>32</v>
      </c>
      <c r="H14" s="7" t="s">
        <v>33</v>
      </c>
      <c r="I14" s="7" t="s">
        <v>33</v>
      </c>
      <c r="J14" s="13" t="str">
        <f aca="false">IF(D14="Y",F14&amp;"-"&amp;G14&amp;"/"&amp;Q14,"-")</f>
        <v>TB-24VDC-2(1)/P1-TBDI1-7(11)</v>
      </c>
      <c r="K14" s="13" t="str">
        <f aca="false">IF(D14="Y",Q14&amp;"/"&amp;F14&amp;"-"&amp;G14,"-")</f>
        <v>P1-TBDI1-7(11)/TB-24VDC-2(1)</v>
      </c>
      <c r="L14" s="7" t="s">
        <v>265</v>
      </c>
      <c r="M14" s="13" t="s">
        <v>266</v>
      </c>
      <c r="N14" s="13" t="s">
        <v>267</v>
      </c>
      <c r="O14" s="7" t="n">
        <v>1</v>
      </c>
      <c r="P14" s="13" t="s">
        <v>268</v>
      </c>
      <c r="Q14" s="13" t="str">
        <f aca="false">A14&amp;"-"&amp;R14&amp;"-"&amp;U14&amp;"("&amp;V14&amp;")"</f>
        <v>P1-TBDI1-7(11)</v>
      </c>
      <c r="R14" s="7" t="s">
        <v>269</v>
      </c>
      <c r="S14" s="7" t="s">
        <v>270</v>
      </c>
      <c r="T14" s="7" t="s">
        <v>271</v>
      </c>
      <c r="U14" s="7" t="n">
        <f aca="false">U15</f>
        <v>7</v>
      </c>
      <c r="V14" s="7" t="n">
        <v>11</v>
      </c>
      <c r="W14" s="13"/>
      <c r="X14" s="7" t="s">
        <v>272</v>
      </c>
    </row>
    <row r="15" customFormat="false" ht="15" hidden="false" customHeight="true" outlineLevel="0" collapsed="false">
      <c r="A15" s="7" t="s">
        <v>263</v>
      </c>
      <c r="B15" s="13" t="str">
        <f aca="false">T15</f>
        <v>1756-IB32</v>
      </c>
      <c r="C15" s="13"/>
      <c r="D15" s="7" t="s">
        <v>34</v>
      </c>
      <c r="E15" s="7" t="s">
        <v>264</v>
      </c>
      <c r="F15" s="7" t="s">
        <v>264</v>
      </c>
      <c r="G15" s="7" t="n">
        <v>7</v>
      </c>
      <c r="H15" s="7" t="s">
        <v>43</v>
      </c>
      <c r="I15" s="7" t="s">
        <v>67</v>
      </c>
      <c r="J15" s="13" t="str">
        <f aca="false">IF(D15="Y",F15&amp;"-"&amp;G15&amp;"/"&amp;Q15,"-")</f>
        <v>C1S4-7/P1-TBDI1-7(14)</v>
      </c>
      <c r="K15" s="13" t="str">
        <f aca="false">IF(D15="Y",Q15&amp;"/"&amp;F15&amp;"-"&amp;G15,"-")</f>
        <v>P1-TBDI1-7(14)/C1S4-7</v>
      </c>
      <c r="L15" s="7" t="s">
        <v>265</v>
      </c>
      <c r="M15" s="13" t="s">
        <v>266</v>
      </c>
      <c r="N15" s="13" t="s">
        <v>267</v>
      </c>
      <c r="O15" s="7" t="n">
        <v>1</v>
      </c>
      <c r="P15" s="13" t="s">
        <v>268</v>
      </c>
      <c r="Q15" s="13" t="str">
        <f aca="false">A15&amp;"-"&amp;R15&amp;"-"&amp;U15&amp;"("&amp;V15&amp;")"</f>
        <v>P1-TBDI1-7(14)</v>
      </c>
      <c r="R15" s="7" t="s">
        <v>269</v>
      </c>
      <c r="S15" s="7" t="s">
        <v>270</v>
      </c>
      <c r="T15" s="7" t="s">
        <v>271</v>
      </c>
      <c r="U15" s="7" t="n">
        <v>7</v>
      </c>
      <c r="V15" s="7" t="n">
        <v>14</v>
      </c>
      <c r="W15" s="13"/>
      <c r="X15" s="7" t="s">
        <v>272</v>
      </c>
    </row>
    <row r="16" customFormat="false" ht="15" hidden="false" customHeight="true" outlineLevel="0" collapsed="false">
      <c r="A16" s="7" t="s">
        <v>263</v>
      </c>
      <c r="B16" s="13" t="str">
        <f aca="false">T16</f>
        <v>1756-IB32</v>
      </c>
      <c r="C16" s="13"/>
      <c r="D16" s="7" t="s">
        <v>34</v>
      </c>
      <c r="E16" s="7" t="s">
        <v>264</v>
      </c>
      <c r="F16" s="7" t="s">
        <v>31</v>
      </c>
      <c r="G16" s="7" t="s">
        <v>32</v>
      </c>
      <c r="H16" s="7" t="s">
        <v>33</v>
      </c>
      <c r="I16" s="7" t="s">
        <v>33</v>
      </c>
      <c r="J16" s="13" t="str">
        <f aca="false">IF(D16="Y",F16&amp;"-"&amp;G16&amp;"/"&amp;Q16,"-")</f>
        <v>TB-24VDC-2(1)/P1-TBDI1-8(11)</v>
      </c>
      <c r="K16" s="13" t="str">
        <f aca="false">IF(D16="Y",Q16&amp;"/"&amp;F16&amp;"-"&amp;G16,"-")</f>
        <v>P1-TBDI1-8(11)/TB-24VDC-2(1)</v>
      </c>
      <c r="L16" s="7" t="s">
        <v>265</v>
      </c>
      <c r="M16" s="13" t="s">
        <v>266</v>
      </c>
      <c r="N16" s="13" t="s">
        <v>267</v>
      </c>
      <c r="O16" s="7" t="n">
        <v>1</v>
      </c>
      <c r="P16" s="13" t="s">
        <v>268</v>
      </c>
      <c r="Q16" s="13" t="str">
        <f aca="false">A16&amp;"-"&amp;R16&amp;"-"&amp;U16&amp;"("&amp;V16&amp;")"</f>
        <v>P1-TBDI1-8(11)</v>
      </c>
      <c r="R16" s="7" t="s">
        <v>269</v>
      </c>
      <c r="S16" s="7" t="s">
        <v>270</v>
      </c>
      <c r="T16" s="7" t="s">
        <v>271</v>
      </c>
      <c r="U16" s="7" t="n">
        <f aca="false">U17</f>
        <v>8</v>
      </c>
      <c r="V16" s="7" t="n">
        <v>11</v>
      </c>
      <c r="W16" s="13"/>
      <c r="X16" s="7" t="s">
        <v>272</v>
      </c>
    </row>
    <row r="17" customFormat="false" ht="15" hidden="false" customHeight="true" outlineLevel="0" collapsed="false">
      <c r="A17" s="7" t="s">
        <v>263</v>
      </c>
      <c r="B17" s="13" t="str">
        <f aca="false">T17</f>
        <v>1756-IB32</v>
      </c>
      <c r="C17" s="13"/>
      <c r="D17" s="7" t="s">
        <v>34</v>
      </c>
      <c r="E17" s="7" t="s">
        <v>264</v>
      </c>
      <c r="F17" s="7" t="s">
        <v>264</v>
      </c>
      <c r="G17" s="7" t="n">
        <v>8</v>
      </c>
      <c r="H17" s="7" t="s">
        <v>43</v>
      </c>
      <c r="I17" s="7" t="s">
        <v>71</v>
      </c>
      <c r="J17" s="13" t="str">
        <f aca="false">IF(D17="Y",F17&amp;"-"&amp;G17&amp;"/"&amp;Q17,"-")</f>
        <v>C1S4-8/P1-TBDI1-8(14)</v>
      </c>
      <c r="K17" s="13" t="str">
        <f aca="false">IF(D17="Y",Q17&amp;"/"&amp;F17&amp;"-"&amp;G17,"-")</f>
        <v>P1-TBDI1-8(14)/C1S4-8</v>
      </c>
      <c r="L17" s="7" t="s">
        <v>265</v>
      </c>
      <c r="M17" s="13" t="s">
        <v>266</v>
      </c>
      <c r="N17" s="13" t="s">
        <v>267</v>
      </c>
      <c r="O17" s="7" t="n">
        <v>1</v>
      </c>
      <c r="P17" s="13" t="s">
        <v>268</v>
      </c>
      <c r="Q17" s="13" t="str">
        <f aca="false">A17&amp;"-"&amp;R17&amp;"-"&amp;U17&amp;"("&amp;V17&amp;")"</f>
        <v>P1-TBDI1-8(14)</v>
      </c>
      <c r="R17" s="7" t="s">
        <v>269</v>
      </c>
      <c r="S17" s="7" t="s">
        <v>270</v>
      </c>
      <c r="T17" s="7" t="s">
        <v>271</v>
      </c>
      <c r="U17" s="7" t="n">
        <v>8</v>
      </c>
      <c r="V17" s="7" t="n">
        <v>14</v>
      </c>
      <c r="W17" s="13"/>
      <c r="X17" s="7" t="s">
        <v>272</v>
      </c>
    </row>
    <row r="18" customFormat="false" ht="15" hidden="false" customHeight="true" outlineLevel="0" collapsed="false">
      <c r="A18" s="7" t="s">
        <v>263</v>
      </c>
      <c r="B18" s="13" t="str">
        <f aca="false">T18</f>
        <v>1756-IB32</v>
      </c>
      <c r="C18" s="13"/>
      <c r="D18" s="7" t="s">
        <v>34</v>
      </c>
      <c r="E18" s="7" t="s">
        <v>264</v>
      </c>
      <c r="F18" s="7" t="s">
        <v>31</v>
      </c>
      <c r="G18" s="7" t="s">
        <v>32</v>
      </c>
      <c r="H18" s="7" t="s">
        <v>33</v>
      </c>
      <c r="I18" s="7" t="s">
        <v>33</v>
      </c>
      <c r="J18" s="13" t="str">
        <f aca="false">IF(D18="Y",F18&amp;"-"&amp;G18&amp;"/"&amp;Q18,"-")</f>
        <v>TB-24VDC-2(1)/P1-TBDI1-9(11)</v>
      </c>
      <c r="K18" s="13" t="str">
        <f aca="false">IF(D18="Y",Q18&amp;"/"&amp;F18&amp;"-"&amp;G18,"-")</f>
        <v>P1-TBDI1-9(11)/TB-24VDC-2(1)</v>
      </c>
      <c r="L18" s="7" t="s">
        <v>265</v>
      </c>
      <c r="M18" s="13" t="s">
        <v>266</v>
      </c>
      <c r="N18" s="13" t="s">
        <v>267</v>
      </c>
      <c r="O18" s="7" t="n">
        <v>1</v>
      </c>
      <c r="P18" s="13" t="s">
        <v>268</v>
      </c>
      <c r="Q18" s="13" t="str">
        <f aca="false">A18&amp;"-"&amp;R18&amp;"-"&amp;U18&amp;"("&amp;V18&amp;")"</f>
        <v>P1-TBDI1-9(11)</v>
      </c>
      <c r="R18" s="7" t="s">
        <v>269</v>
      </c>
      <c r="S18" s="7" t="s">
        <v>270</v>
      </c>
      <c r="T18" s="7" t="s">
        <v>271</v>
      </c>
      <c r="U18" s="7" t="n">
        <f aca="false">U19</f>
        <v>9</v>
      </c>
      <c r="V18" s="7" t="n">
        <v>11</v>
      </c>
      <c r="W18" s="13"/>
      <c r="X18" s="7" t="s">
        <v>272</v>
      </c>
    </row>
    <row r="19" customFormat="false" ht="15" hidden="false" customHeight="true" outlineLevel="0" collapsed="false">
      <c r="A19" s="7" t="s">
        <v>263</v>
      </c>
      <c r="B19" s="13" t="str">
        <f aca="false">T19</f>
        <v>1756-IB32</v>
      </c>
      <c r="C19" s="13"/>
      <c r="D19" s="7" t="s">
        <v>34</v>
      </c>
      <c r="E19" s="7" t="s">
        <v>264</v>
      </c>
      <c r="F19" s="7" t="s">
        <v>264</v>
      </c>
      <c r="G19" s="7" t="n">
        <v>9</v>
      </c>
      <c r="H19" s="7" t="s">
        <v>43</v>
      </c>
      <c r="I19" s="7" t="s">
        <v>75</v>
      </c>
      <c r="J19" s="13" t="str">
        <f aca="false">IF(D19="Y",F19&amp;"-"&amp;G19&amp;"/"&amp;Q19,"-")</f>
        <v>C1S4-9/P1-TBDI1-9(14)</v>
      </c>
      <c r="K19" s="13" t="str">
        <f aca="false">IF(D19="Y",Q19&amp;"/"&amp;F19&amp;"-"&amp;G19,"-")</f>
        <v>P1-TBDI1-9(14)/C1S4-9</v>
      </c>
      <c r="L19" s="7" t="s">
        <v>265</v>
      </c>
      <c r="M19" s="13" t="s">
        <v>266</v>
      </c>
      <c r="N19" s="13" t="s">
        <v>267</v>
      </c>
      <c r="O19" s="7" t="n">
        <v>1</v>
      </c>
      <c r="P19" s="13" t="s">
        <v>268</v>
      </c>
      <c r="Q19" s="13" t="str">
        <f aca="false">A19&amp;"-"&amp;R19&amp;"-"&amp;U19&amp;"("&amp;V19&amp;")"</f>
        <v>P1-TBDI1-9(14)</v>
      </c>
      <c r="R19" s="7" t="s">
        <v>269</v>
      </c>
      <c r="S19" s="7" t="s">
        <v>270</v>
      </c>
      <c r="T19" s="7" t="s">
        <v>271</v>
      </c>
      <c r="U19" s="7" t="n">
        <v>9</v>
      </c>
      <c r="V19" s="7" t="n">
        <v>14</v>
      </c>
      <c r="W19" s="13"/>
      <c r="X19" s="7" t="s">
        <v>272</v>
      </c>
    </row>
    <row r="20" customFormat="false" ht="15" hidden="false" customHeight="true" outlineLevel="0" collapsed="false">
      <c r="A20" s="7" t="s">
        <v>263</v>
      </c>
      <c r="B20" s="13" t="str">
        <f aca="false">T20</f>
        <v>1756-IB32</v>
      </c>
      <c r="C20" s="13"/>
      <c r="D20" s="7" t="s">
        <v>34</v>
      </c>
      <c r="E20" s="7" t="s">
        <v>264</v>
      </c>
      <c r="F20" s="7" t="s">
        <v>31</v>
      </c>
      <c r="G20" s="7" t="s">
        <v>32</v>
      </c>
      <c r="H20" s="7" t="s">
        <v>33</v>
      </c>
      <c r="I20" s="7" t="s">
        <v>33</v>
      </c>
      <c r="J20" s="13" t="str">
        <f aca="false">IF(D20="Y",F20&amp;"-"&amp;G20&amp;"/"&amp;Q20,"-")</f>
        <v>TB-24VDC-2(1)/P1-TBDI1-10(11)</v>
      </c>
      <c r="K20" s="13" t="str">
        <f aca="false">IF(D20="Y",Q20&amp;"/"&amp;F20&amp;"-"&amp;G20,"-")</f>
        <v>P1-TBDI1-10(11)/TB-24VDC-2(1)</v>
      </c>
      <c r="L20" s="7" t="s">
        <v>265</v>
      </c>
      <c r="M20" s="13" t="s">
        <v>266</v>
      </c>
      <c r="N20" s="13" t="s">
        <v>267</v>
      </c>
      <c r="O20" s="7" t="n">
        <v>1</v>
      </c>
      <c r="P20" s="13" t="s">
        <v>268</v>
      </c>
      <c r="Q20" s="13" t="str">
        <f aca="false">A20&amp;"-"&amp;R20&amp;"-"&amp;U20&amp;"("&amp;V20&amp;")"</f>
        <v>P1-TBDI1-10(11)</v>
      </c>
      <c r="R20" s="7" t="s">
        <v>269</v>
      </c>
      <c r="S20" s="7" t="s">
        <v>270</v>
      </c>
      <c r="T20" s="7" t="s">
        <v>271</v>
      </c>
      <c r="U20" s="7" t="n">
        <f aca="false">U21</f>
        <v>10</v>
      </c>
      <c r="V20" s="7" t="n">
        <v>11</v>
      </c>
      <c r="W20" s="13"/>
      <c r="X20" s="7" t="s">
        <v>272</v>
      </c>
    </row>
    <row r="21" customFormat="false" ht="15" hidden="false" customHeight="true" outlineLevel="0" collapsed="false">
      <c r="A21" s="7" t="s">
        <v>263</v>
      </c>
      <c r="B21" s="13" t="str">
        <f aca="false">T21</f>
        <v>1756-IB32</v>
      </c>
      <c r="C21" s="13"/>
      <c r="D21" s="7" t="s">
        <v>34</v>
      </c>
      <c r="E21" s="7" t="s">
        <v>264</v>
      </c>
      <c r="F21" s="7" t="s">
        <v>264</v>
      </c>
      <c r="G21" s="7" t="n">
        <v>10</v>
      </c>
      <c r="H21" s="7" t="s">
        <v>43</v>
      </c>
      <c r="I21" s="7" t="s">
        <v>79</v>
      </c>
      <c r="J21" s="13" t="str">
        <f aca="false">IF(D21="Y",F21&amp;"-"&amp;G21&amp;"/"&amp;Q21,"-")</f>
        <v>C1S4-10/P1-TBDI1-10(14)</v>
      </c>
      <c r="K21" s="13" t="str">
        <f aca="false">IF(D21="Y",Q21&amp;"/"&amp;F21&amp;"-"&amp;G21,"-")</f>
        <v>P1-TBDI1-10(14)/C1S4-10</v>
      </c>
      <c r="L21" s="7" t="s">
        <v>265</v>
      </c>
      <c r="M21" s="13" t="s">
        <v>266</v>
      </c>
      <c r="N21" s="13" t="s">
        <v>267</v>
      </c>
      <c r="O21" s="7" t="n">
        <v>1</v>
      </c>
      <c r="P21" s="13" t="s">
        <v>268</v>
      </c>
      <c r="Q21" s="13" t="str">
        <f aca="false">A21&amp;"-"&amp;R21&amp;"-"&amp;U21&amp;"("&amp;V21&amp;")"</f>
        <v>P1-TBDI1-10(14)</v>
      </c>
      <c r="R21" s="7" t="s">
        <v>269</v>
      </c>
      <c r="S21" s="7" t="s">
        <v>270</v>
      </c>
      <c r="T21" s="7" t="s">
        <v>271</v>
      </c>
      <c r="U21" s="7" t="n">
        <v>10</v>
      </c>
      <c r="V21" s="7" t="n">
        <v>14</v>
      </c>
      <c r="W21" s="13"/>
      <c r="X21" s="7" t="s">
        <v>272</v>
      </c>
    </row>
    <row r="22" customFormat="false" ht="15" hidden="false" customHeight="true" outlineLevel="0" collapsed="false">
      <c r="A22" s="7" t="s">
        <v>263</v>
      </c>
      <c r="B22" s="13" t="str">
        <f aca="false">T22</f>
        <v>1756-IB32</v>
      </c>
      <c r="C22" s="13"/>
      <c r="D22" s="7" t="s">
        <v>34</v>
      </c>
      <c r="E22" s="7" t="s">
        <v>264</v>
      </c>
      <c r="F22" s="7" t="s">
        <v>31</v>
      </c>
      <c r="G22" s="7" t="s">
        <v>32</v>
      </c>
      <c r="H22" s="7" t="s">
        <v>33</v>
      </c>
      <c r="I22" s="7" t="s">
        <v>33</v>
      </c>
      <c r="J22" s="13" t="str">
        <f aca="false">IF(D22="Y",F22&amp;"-"&amp;G22&amp;"/"&amp;Q22,"-")</f>
        <v>TB-24VDC-2(1)/P1-TBDI1-11(11)</v>
      </c>
      <c r="K22" s="13" t="str">
        <f aca="false">IF(D22="Y",Q22&amp;"/"&amp;F22&amp;"-"&amp;G22,"-")</f>
        <v>P1-TBDI1-11(11)/TB-24VDC-2(1)</v>
      </c>
      <c r="L22" s="7" t="s">
        <v>265</v>
      </c>
      <c r="M22" s="13" t="s">
        <v>266</v>
      </c>
      <c r="N22" s="13" t="s">
        <v>267</v>
      </c>
      <c r="O22" s="7" t="n">
        <v>1</v>
      </c>
      <c r="P22" s="13" t="s">
        <v>268</v>
      </c>
      <c r="Q22" s="13" t="str">
        <f aca="false">A22&amp;"-"&amp;R22&amp;"-"&amp;U22&amp;"("&amp;V22&amp;")"</f>
        <v>P1-TBDI1-11(11)</v>
      </c>
      <c r="R22" s="7" t="s">
        <v>269</v>
      </c>
      <c r="S22" s="7" t="s">
        <v>270</v>
      </c>
      <c r="T22" s="7" t="s">
        <v>271</v>
      </c>
      <c r="U22" s="7" t="n">
        <f aca="false">U23</f>
        <v>11</v>
      </c>
      <c r="V22" s="7" t="n">
        <v>11</v>
      </c>
      <c r="W22" s="13"/>
      <c r="X22" s="7" t="s">
        <v>272</v>
      </c>
    </row>
    <row r="23" customFormat="false" ht="15" hidden="false" customHeight="true" outlineLevel="0" collapsed="false">
      <c r="A23" s="7" t="s">
        <v>263</v>
      </c>
      <c r="B23" s="13" t="str">
        <f aca="false">T23</f>
        <v>1756-IB32</v>
      </c>
      <c r="C23" s="13"/>
      <c r="D23" s="7" t="s">
        <v>34</v>
      </c>
      <c r="E23" s="7" t="s">
        <v>264</v>
      </c>
      <c r="F23" s="7" t="s">
        <v>264</v>
      </c>
      <c r="G23" s="7" t="n">
        <v>11</v>
      </c>
      <c r="H23" s="7" t="s">
        <v>43</v>
      </c>
      <c r="I23" s="7" t="s">
        <v>83</v>
      </c>
      <c r="J23" s="13" t="str">
        <f aca="false">IF(D23="Y",F23&amp;"-"&amp;G23&amp;"/"&amp;Q23,"-")</f>
        <v>C1S4-11/P1-TBDI1-11(14)</v>
      </c>
      <c r="K23" s="13" t="str">
        <f aca="false">IF(D23="Y",Q23&amp;"/"&amp;F23&amp;"-"&amp;G23,"-")</f>
        <v>P1-TBDI1-11(14)/C1S4-11</v>
      </c>
      <c r="L23" s="7" t="s">
        <v>265</v>
      </c>
      <c r="M23" s="13" t="s">
        <v>266</v>
      </c>
      <c r="N23" s="13" t="s">
        <v>267</v>
      </c>
      <c r="O23" s="7" t="n">
        <v>1</v>
      </c>
      <c r="P23" s="13" t="s">
        <v>268</v>
      </c>
      <c r="Q23" s="13" t="str">
        <f aca="false">A23&amp;"-"&amp;R23&amp;"-"&amp;U23&amp;"("&amp;V23&amp;")"</f>
        <v>P1-TBDI1-11(14)</v>
      </c>
      <c r="R23" s="7" t="s">
        <v>269</v>
      </c>
      <c r="S23" s="7" t="s">
        <v>270</v>
      </c>
      <c r="T23" s="7" t="s">
        <v>271</v>
      </c>
      <c r="U23" s="7" t="n">
        <v>11</v>
      </c>
      <c r="V23" s="7" t="n">
        <v>14</v>
      </c>
      <c r="W23" s="13"/>
      <c r="X23" s="7" t="s">
        <v>272</v>
      </c>
    </row>
    <row r="24" customFormat="false" ht="15" hidden="false" customHeight="true" outlineLevel="0" collapsed="false">
      <c r="A24" s="7" t="s">
        <v>263</v>
      </c>
      <c r="B24" s="13" t="str">
        <f aca="false">T24</f>
        <v>1756-IB32</v>
      </c>
      <c r="C24" s="13"/>
      <c r="D24" s="7" t="s">
        <v>34</v>
      </c>
      <c r="E24" s="7" t="s">
        <v>264</v>
      </c>
      <c r="F24" s="7" t="s">
        <v>31</v>
      </c>
      <c r="G24" s="7" t="s">
        <v>32</v>
      </c>
      <c r="H24" s="7" t="s">
        <v>33</v>
      </c>
      <c r="I24" s="7" t="s">
        <v>33</v>
      </c>
      <c r="J24" s="13" t="str">
        <f aca="false">IF(D24="Y",F24&amp;"-"&amp;G24&amp;"/"&amp;Q24,"-")</f>
        <v>TB-24VDC-2(1)/P1-TBDI1-12(11)</v>
      </c>
      <c r="K24" s="13" t="str">
        <f aca="false">IF(D24="Y",Q24&amp;"/"&amp;F24&amp;"-"&amp;G24,"-")</f>
        <v>P1-TBDI1-12(11)/TB-24VDC-2(1)</v>
      </c>
      <c r="L24" s="7" t="s">
        <v>265</v>
      </c>
      <c r="M24" s="13" t="s">
        <v>266</v>
      </c>
      <c r="N24" s="13" t="s">
        <v>267</v>
      </c>
      <c r="O24" s="7" t="n">
        <v>1</v>
      </c>
      <c r="P24" s="13" t="s">
        <v>268</v>
      </c>
      <c r="Q24" s="13" t="str">
        <f aca="false">A24&amp;"-"&amp;R24&amp;"-"&amp;U24&amp;"("&amp;V24&amp;")"</f>
        <v>P1-TBDI1-12(11)</v>
      </c>
      <c r="R24" s="7" t="s">
        <v>269</v>
      </c>
      <c r="S24" s="7" t="s">
        <v>270</v>
      </c>
      <c r="T24" s="7" t="s">
        <v>271</v>
      </c>
      <c r="U24" s="7" t="n">
        <f aca="false">U25</f>
        <v>12</v>
      </c>
      <c r="V24" s="7" t="n">
        <v>11</v>
      </c>
      <c r="W24" s="13"/>
      <c r="X24" s="7" t="s">
        <v>272</v>
      </c>
    </row>
    <row r="25" customFormat="false" ht="15" hidden="false" customHeight="true" outlineLevel="0" collapsed="false">
      <c r="A25" s="7" t="s">
        <v>263</v>
      </c>
      <c r="B25" s="13" t="str">
        <f aca="false">T25</f>
        <v>1756-IB32</v>
      </c>
      <c r="C25" s="13"/>
      <c r="D25" s="7" t="s">
        <v>34</v>
      </c>
      <c r="E25" s="7" t="s">
        <v>264</v>
      </c>
      <c r="F25" s="7" t="s">
        <v>264</v>
      </c>
      <c r="G25" s="7" t="n">
        <v>12</v>
      </c>
      <c r="H25" s="7" t="s">
        <v>43</v>
      </c>
      <c r="I25" s="7" t="s">
        <v>87</v>
      </c>
      <c r="J25" s="13" t="str">
        <f aca="false">IF(D25="Y",F25&amp;"-"&amp;G25&amp;"/"&amp;Q25,"-")</f>
        <v>C1S4-12/P1-TBDI1-12(14)</v>
      </c>
      <c r="K25" s="13" t="str">
        <f aca="false">IF(D25="Y",Q25&amp;"/"&amp;F25&amp;"-"&amp;G25,"-")</f>
        <v>P1-TBDI1-12(14)/C1S4-12</v>
      </c>
      <c r="L25" s="7" t="s">
        <v>265</v>
      </c>
      <c r="M25" s="13" t="s">
        <v>266</v>
      </c>
      <c r="N25" s="13" t="s">
        <v>267</v>
      </c>
      <c r="O25" s="7" t="n">
        <v>1</v>
      </c>
      <c r="P25" s="13" t="s">
        <v>268</v>
      </c>
      <c r="Q25" s="13" t="str">
        <f aca="false">A25&amp;"-"&amp;R25&amp;"-"&amp;U25&amp;"("&amp;V25&amp;")"</f>
        <v>P1-TBDI1-12(14)</v>
      </c>
      <c r="R25" s="7" t="s">
        <v>269</v>
      </c>
      <c r="S25" s="7" t="s">
        <v>270</v>
      </c>
      <c r="T25" s="7" t="s">
        <v>271</v>
      </c>
      <c r="U25" s="7" t="n">
        <v>12</v>
      </c>
      <c r="V25" s="7" t="n">
        <v>14</v>
      </c>
      <c r="W25" s="13"/>
      <c r="X25" s="7" t="s">
        <v>272</v>
      </c>
    </row>
    <row r="26" customFormat="false" ht="15" hidden="false" customHeight="true" outlineLevel="0" collapsed="false">
      <c r="A26" s="7" t="s">
        <v>263</v>
      </c>
      <c r="B26" s="13" t="str">
        <f aca="false">T26</f>
        <v>1756-IB32</v>
      </c>
      <c r="C26" s="13"/>
      <c r="D26" s="7" t="s">
        <v>34</v>
      </c>
      <c r="E26" s="7" t="s">
        <v>264</v>
      </c>
      <c r="F26" s="7" t="s">
        <v>31</v>
      </c>
      <c r="G26" s="7" t="s">
        <v>32</v>
      </c>
      <c r="H26" s="7" t="s">
        <v>33</v>
      </c>
      <c r="I26" s="7" t="s">
        <v>33</v>
      </c>
      <c r="J26" s="13" t="str">
        <f aca="false">IF(D26="Y",F26&amp;"-"&amp;G26&amp;"/"&amp;Q26,"-")</f>
        <v>TB-24VDC-2(1)/P1-TBDI1-13(11)</v>
      </c>
      <c r="K26" s="13" t="str">
        <f aca="false">IF(D26="Y",Q26&amp;"/"&amp;F26&amp;"-"&amp;G26,"-")</f>
        <v>P1-TBDI1-13(11)/TB-24VDC-2(1)</v>
      </c>
      <c r="L26" s="7" t="s">
        <v>265</v>
      </c>
      <c r="M26" s="13" t="s">
        <v>266</v>
      </c>
      <c r="N26" s="13" t="s">
        <v>267</v>
      </c>
      <c r="O26" s="7" t="n">
        <v>1</v>
      </c>
      <c r="P26" s="13" t="s">
        <v>268</v>
      </c>
      <c r="Q26" s="13" t="str">
        <f aca="false">A26&amp;"-"&amp;R26&amp;"-"&amp;U26&amp;"("&amp;V26&amp;")"</f>
        <v>P1-TBDI1-13(11)</v>
      </c>
      <c r="R26" s="7" t="s">
        <v>269</v>
      </c>
      <c r="S26" s="7" t="s">
        <v>270</v>
      </c>
      <c r="T26" s="7" t="s">
        <v>271</v>
      </c>
      <c r="U26" s="7" t="n">
        <f aca="false">U27</f>
        <v>13</v>
      </c>
      <c r="V26" s="7" t="n">
        <v>11</v>
      </c>
      <c r="W26" s="13"/>
      <c r="X26" s="7" t="s">
        <v>272</v>
      </c>
    </row>
    <row r="27" customFormat="false" ht="15" hidden="false" customHeight="true" outlineLevel="0" collapsed="false">
      <c r="A27" s="7" t="s">
        <v>263</v>
      </c>
      <c r="B27" s="13" t="str">
        <f aca="false">T27</f>
        <v>1756-IB32</v>
      </c>
      <c r="C27" s="13"/>
      <c r="D27" s="7" t="s">
        <v>34</v>
      </c>
      <c r="E27" s="7" t="s">
        <v>264</v>
      </c>
      <c r="F27" s="7" t="s">
        <v>264</v>
      </c>
      <c r="G27" s="7" t="n">
        <v>13</v>
      </c>
      <c r="H27" s="7" t="s">
        <v>43</v>
      </c>
      <c r="I27" s="7" t="s">
        <v>91</v>
      </c>
      <c r="J27" s="13" t="str">
        <f aca="false">IF(D27="Y",F27&amp;"-"&amp;G27&amp;"/"&amp;Q27,"-")</f>
        <v>C1S4-13/P1-TBDI1-13(14)</v>
      </c>
      <c r="K27" s="13" t="str">
        <f aca="false">IF(D27="Y",Q27&amp;"/"&amp;F27&amp;"-"&amp;G27,"-")</f>
        <v>P1-TBDI1-13(14)/C1S4-13</v>
      </c>
      <c r="L27" s="7" t="s">
        <v>265</v>
      </c>
      <c r="M27" s="13" t="s">
        <v>266</v>
      </c>
      <c r="N27" s="13" t="s">
        <v>267</v>
      </c>
      <c r="O27" s="7" t="n">
        <v>1</v>
      </c>
      <c r="P27" s="13" t="s">
        <v>268</v>
      </c>
      <c r="Q27" s="13" t="str">
        <f aca="false">A27&amp;"-"&amp;R27&amp;"-"&amp;U27&amp;"("&amp;V27&amp;")"</f>
        <v>P1-TBDI1-13(14)</v>
      </c>
      <c r="R27" s="7" t="s">
        <v>269</v>
      </c>
      <c r="S27" s="7" t="s">
        <v>270</v>
      </c>
      <c r="T27" s="7" t="s">
        <v>271</v>
      </c>
      <c r="U27" s="7" t="n">
        <v>13</v>
      </c>
      <c r="V27" s="7" t="n">
        <v>14</v>
      </c>
      <c r="W27" s="13"/>
      <c r="X27" s="7" t="s">
        <v>272</v>
      </c>
    </row>
    <row r="28" customFormat="false" ht="15" hidden="false" customHeight="true" outlineLevel="0" collapsed="false">
      <c r="A28" s="7" t="s">
        <v>263</v>
      </c>
      <c r="B28" s="13" t="str">
        <f aca="false">T28</f>
        <v>1756-IB32</v>
      </c>
      <c r="C28" s="13"/>
      <c r="D28" s="7" t="s">
        <v>34</v>
      </c>
      <c r="E28" s="7" t="s">
        <v>264</v>
      </c>
      <c r="F28" s="7" t="s">
        <v>31</v>
      </c>
      <c r="G28" s="7" t="s">
        <v>32</v>
      </c>
      <c r="H28" s="7" t="s">
        <v>33</v>
      </c>
      <c r="I28" s="7" t="s">
        <v>33</v>
      </c>
      <c r="J28" s="13" t="str">
        <f aca="false">IF(D28="Y",F28&amp;"-"&amp;G28&amp;"/"&amp;Q28,"-")</f>
        <v>TB-24VDC-2(1)/P1-TBDI1-14(11)</v>
      </c>
      <c r="K28" s="13" t="str">
        <f aca="false">IF(D28="Y",Q28&amp;"/"&amp;F28&amp;"-"&amp;G28,"-")</f>
        <v>P1-TBDI1-14(11)/TB-24VDC-2(1)</v>
      </c>
      <c r="L28" s="7" t="s">
        <v>265</v>
      </c>
      <c r="M28" s="13" t="s">
        <v>266</v>
      </c>
      <c r="N28" s="13" t="s">
        <v>267</v>
      </c>
      <c r="O28" s="7" t="n">
        <v>1</v>
      </c>
      <c r="P28" s="13" t="s">
        <v>268</v>
      </c>
      <c r="Q28" s="13" t="str">
        <f aca="false">A28&amp;"-"&amp;R28&amp;"-"&amp;U28&amp;"("&amp;V28&amp;")"</f>
        <v>P1-TBDI1-14(11)</v>
      </c>
      <c r="R28" s="7" t="s">
        <v>269</v>
      </c>
      <c r="S28" s="7" t="s">
        <v>270</v>
      </c>
      <c r="T28" s="7" t="s">
        <v>271</v>
      </c>
      <c r="U28" s="7" t="n">
        <f aca="false">U29</f>
        <v>14</v>
      </c>
      <c r="V28" s="7" t="n">
        <v>11</v>
      </c>
      <c r="W28" s="13"/>
      <c r="X28" s="7" t="s">
        <v>272</v>
      </c>
    </row>
    <row r="29" customFormat="false" ht="15" hidden="false" customHeight="true" outlineLevel="0" collapsed="false">
      <c r="A29" s="7" t="s">
        <v>263</v>
      </c>
      <c r="B29" s="13" t="str">
        <f aca="false">T29</f>
        <v>1756-IB32</v>
      </c>
      <c r="C29" s="13"/>
      <c r="D29" s="7" t="s">
        <v>34</v>
      </c>
      <c r="E29" s="7" t="s">
        <v>264</v>
      </c>
      <c r="F29" s="7" t="s">
        <v>264</v>
      </c>
      <c r="G29" s="7" t="n">
        <v>14</v>
      </c>
      <c r="H29" s="7" t="s">
        <v>43</v>
      </c>
      <c r="I29" s="7" t="s">
        <v>95</v>
      </c>
      <c r="J29" s="13" t="str">
        <f aca="false">IF(D29="Y",F29&amp;"-"&amp;G29&amp;"/"&amp;Q29,"-")</f>
        <v>C1S4-14/P1-TBDI1-14(14)</v>
      </c>
      <c r="K29" s="13" t="str">
        <f aca="false">IF(D29="Y",Q29&amp;"/"&amp;F29&amp;"-"&amp;G29,"-")</f>
        <v>P1-TBDI1-14(14)/C1S4-14</v>
      </c>
      <c r="L29" s="7" t="s">
        <v>265</v>
      </c>
      <c r="M29" s="13" t="s">
        <v>266</v>
      </c>
      <c r="N29" s="13" t="s">
        <v>267</v>
      </c>
      <c r="O29" s="7" t="n">
        <v>1</v>
      </c>
      <c r="P29" s="13" t="s">
        <v>268</v>
      </c>
      <c r="Q29" s="13" t="str">
        <f aca="false">A29&amp;"-"&amp;R29&amp;"-"&amp;U29&amp;"("&amp;V29&amp;")"</f>
        <v>P1-TBDI1-14(14)</v>
      </c>
      <c r="R29" s="7" t="s">
        <v>269</v>
      </c>
      <c r="S29" s="7" t="s">
        <v>270</v>
      </c>
      <c r="T29" s="7" t="s">
        <v>271</v>
      </c>
      <c r="U29" s="7" t="n">
        <v>14</v>
      </c>
      <c r="V29" s="7" t="n">
        <v>14</v>
      </c>
      <c r="W29" s="13"/>
      <c r="X29" s="7" t="s">
        <v>272</v>
      </c>
    </row>
    <row r="30" customFormat="false" ht="15" hidden="false" customHeight="true" outlineLevel="0" collapsed="false">
      <c r="A30" s="7" t="s">
        <v>263</v>
      </c>
      <c r="B30" s="13" t="str">
        <f aca="false">T30</f>
        <v>1756-IB32</v>
      </c>
      <c r="C30" s="13"/>
      <c r="D30" s="7" t="s">
        <v>34</v>
      </c>
      <c r="E30" s="7" t="s">
        <v>264</v>
      </c>
      <c r="F30" s="7" t="s">
        <v>31</v>
      </c>
      <c r="G30" s="7" t="s">
        <v>32</v>
      </c>
      <c r="H30" s="7" t="s">
        <v>33</v>
      </c>
      <c r="I30" s="7" t="s">
        <v>33</v>
      </c>
      <c r="J30" s="13" t="str">
        <f aca="false">IF(D30="Y",F30&amp;"-"&amp;G30&amp;"/"&amp;Q30,"-")</f>
        <v>TB-24VDC-2(1)/P1-TBDI1-15(11)</v>
      </c>
      <c r="K30" s="13" t="str">
        <f aca="false">IF(D30="Y",Q30&amp;"/"&amp;F30&amp;"-"&amp;G30,"-")</f>
        <v>P1-TBDI1-15(11)/TB-24VDC-2(1)</v>
      </c>
      <c r="L30" s="7" t="s">
        <v>265</v>
      </c>
      <c r="M30" s="13" t="s">
        <v>266</v>
      </c>
      <c r="N30" s="13" t="s">
        <v>267</v>
      </c>
      <c r="O30" s="7" t="n">
        <v>1</v>
      </c>
      <c r="P30" s="13" t="s">
        <v>268</v>
      </c>
      <c r="Q30" s="13" t="str">
        <f aca="false">A30&amp;"-"&amp;R30&amp;"-"&amp;U30&amp;"("&amp;V30&amp;")"</f>
        <v>P1-TBDI1-15(11)</v>
      </c>
      <c r="R30" s="7" t="s">
        <v>269</v>
      </c>
      <c r="S30" s="7" t="s">
        <v>270</v>
      </c>
      <c r="T30" s="7" t="s">
        <v>271</v>
      </c>
      <c r="U30" s="7" t="n">
        <f aca="false">U31</f>
        <v>15</v>
      </c>
      <c r="V30" s="7" t="n">
        <v>11</v>
      </c>
      <c r="W30" s="13"/>
      <c r="X30" s="7" t="s">
        <v>272</v>
      </c>
    </row>
    <row r="31" customFormat="false" ht="15" hidden="false" customHeight="true" outlineLevel="0" collapsed="false">
      <c r="A31" s="7" t="s">
        <v>263</v>
      </c>
      <c r="B31" s="13" t="str">
        <f aca="false">T31</f>
        <v>1756-IB32</v>
      </c>
      <c r="C31" s="13"/>
      <c r="D31" s="7" t="s">
        <v>34</v>
      </c>
      <c r="E31" s="7" t="s">
        <v>264</v>
      </c>
      <c r="F31" s="7" t="s">
        <v>264</v>
      </c>
      <c r="G31" s="7" t="n">
        <v>15</v>
      </c>
      <c r="H31" s="7" t="s">
        <v>43</v>
      </c>
      <c r="I31" s="7" t="s">
        <v>99</v>
      </c>
      <c r="J31" s="13" t="str">
        <f aca="false">IF(D31="Y",F31&amp;"-"&amp;G31&amp;"/"&amp;Q31,"-")</f>
        <v>C1S4-15/P1-TBDI1-15(14)</v>
      </c>
      <c r="K31" s="13" t="str">
        <f aca="false">IF(D31="Y",Q31&amp;"/"&amp;F31&amp;"-"&amp;G31,"-")</f>
        <v>P1-TBDI1-15(14)/C1S4-15</v>
      </c>
      <c r="L31" s="7" t="s">
        <v>265</v>
      </c>
      <c r="M31" s="13" t="s">
        <v>266</v>
      </c>
      <c r="N31" s="13" t="s">
        <v>267</v>
      </c>
      <c r="O31" s="7" t="n">
        <v>1</v>
      </c>
      <c r="P31" s="13" t="s">
        <v>268</v>
      </c>
      <c r="Q31" s="13" t="str">
        <f aca="false">A31&amp;"-"&amp;R31&amp;"-"&amp;U31&amp;"("&amp;V31&amp;")"</f>
        <v>P1-TBDI1-15(14)</v>
      </c>
      <c r="R31" s="7" t="s">
        <v>269</v>
      </c>
      <c r="S31" s="7" t="s">
        <v>270</v>
      </c>
      <c r="T31" s="7" t="s">
        <v>271</v>
      </c>
      <c r="U31" s="7" t="n">
        <v>15</v>
      </c>
      <c r="V31" s="7" t="n">
        <v>14</v>
      </c>
      <c r="W31" s="13"/>
      <c r="X31" s="7" t="s">
        <v>272</v>
      </c>
    </row>
    <row r="32" customFormat="false" ht="15" hidden="false" customHeight="true" outlineLevel="0" collapsed="false">
      <c r="A32" s="7" t="s">
        <v>263</v>
      </c>
      <c r="B32" s="13" t="str">
        <f aca="false">T32</f>
        <v>1756-IB32</v>
      </c>
      <c r="C32" s="13"/>
      <c r="D32" s="7" t="s">
        <v>34</v>
      </c>
      <c r="E32" s="7" t="s">
        <v>264</v>
      </c>
      <c r="F32" s="7" t="s">
        <v>31</v>
      </c>
      <c r="G32" s="7" t="s">
        <v>32</v>
      </c>
      <c r="H32" s="7" t="s">
        <v>33</v>
      </c>
      <c r="I32" s="7" t="s">
        <v>33</v>
      </c>
      <c r="J32" s="13" t="str">
        <f aca="false">IF(D32="Y",F32&amp;"-"&amp;G32&amp;"/"&amp;Q32,"-")</f>
        <v>TB-24VDC-2(1)/P1-TBDI1-16(11)</v>
      </c>
      <c r="K32" s="13" t="str">
        <f aca="false">IF(D32="Y",Q32&amp;"/"&amp;F32&amp;"-"&amp;G32,"-")</f>
        <v>P1-TBDI1-16(11)/TB-24VDC-2(1)</v>
      </c>
      <c r="L32" s="7" t="s">
        <v>265</v>
      </c>
      <c r="M32" s="13" t="s">
        <v>266</v>
      </c>
      <c r="N32" s="13" t="s">
        <v>267</v>
      </c>
      <c r="O32" s="7" t="n">
        <v>1</v>
      </c>
      <c r="P32" s="13" t="s">
        <v>268</v>
      </c>
      <c r="Q32" s="13" t="str">
        <f aca="false">A32&amp;"-"&amp;R32&amp;"-"&amp;U32&amp;"("&amp;V32&amp;")"</f>
        <v>P1-TBDI1-16(11)</v>
      </c>
      <c r="R32" s="7" t="s">
        <v>269</v>
      </c>
      <c r="S32" s="7" t="s">
        <v>270</v>
      </c>
      <c r="T32" s="7" t="s">
        <v>271</v>
      </c>
      <c r="U32" s="7" t="n">
        <f aca="false">U33</f>
        <v>16</v>
      </c>
      <c r="V32" s="7" t="n">
        <v>11</v>
      </c>
      <c r="W32" s="13"/>
      <c r="X32" s="7" t="s">
        <v>272</v>
      </c>
    </row>
    <row r="33" customFormat="false" ht="15" hidden="false" customHeight="true" outlineLevel="0" collapsed="false">
      <c r="A33" s="7" t="s">
        <v>263</v>
      </c>
      <c r="B33" s="13" t="str">
        <f aca="false">T33</f>
        <v>1756-IB32</v>
      </c>
      <c r="C33" s="13"/>
      <c r="D33" s="7" t="s">
        <v>34</v>
      </c>
      <c r="E33" s="7" t="s">
        <v>264</v>
      </c>
      <c r="F33" s="7" t="s">
        <v>264</v>
      </c>
      <c r="G33" s="7" t="n">
        <v>16</v>
      </c>
      <c r="H33" s="7" t="s">
        <v>43</v>
      </c>
      <c r="I33" s="7" t="s">
        <v>101</v>
      </c>
      <c r="J33" s="13" t="str">
        <f aca="false">IF(D33="Y",F33&amp;"-"&amp;G33&amp;"/"&amp;Q33,"-")</f>
        <v>C1S4-16/P1-TBDI1-16(14)</v>
      </c>
      <c r="K33" s="13" t="str">
        <f aca="false">IF(D33="Y",Q33&amp;"/"&amp;F33&amp;"-"&amp;G33,"-")</f>
        <v>P1-TBDI1-16(14)/C1S4-16</v>
      </c>
      <c r="L33" s="7" t="s">
        <v>265</v>
      </c>
      <c r="M33" s="13" t="s">
        <v>266</v>
      </c>
      <c r="N33" s="13" t="s">
        <v>267</v>
      </c>
      <c r="O33" s="7" t="n">
        <v>1</v>
      </c>
      <c r="P33" s="13" t="s">
        <v>268</v>
      </c>
      <c r="Q33" s="13" t="str">
        <f aca="false">A33&amp;"-"&amp;R33&amp;"-"&amp;U33&amp;"("&amp;V33&amp;")"</f>
        <v>P1-TBDI1-16(14)</v>
      </c>
      <c r="R33" s="7" t="s">
        <v>269</v>
      </c>
      <c r="S33" s="7" t="s">
        <v>270</v>
      </c>
      <c r="T33" s="7" t="s">
        <v>271</v>
      </c>
      <c r="U33" s="7" t="n">
        <v>16</v>
      </c>
      <c r="V33" s="7" t="n">
        <v>14</v>
      </c>
      <c r="W33" s="13"/>
      <c r="X33" s="7" t="s">
        <v>272</v>
      </c>
    </row>
    <row r="34" customFormat="false" ht="15" hidden="false" customHeight="true" outlineLevel="0" collapsed="false">
      <c r="A34" s="7" t="s">
        <v>263</v>
      </c>
      <c r="B34" s="13" t="str">
        <f aca="false">T34</f>
        <v>1756-IB32</v>
      </c>
      <c r="C34" s="13"/>
      <c r="D34" s="7" t="s">
        <v>34</v>
      </c>
      <c r="E34" s="7" t="s">
        <v>264</v>
      </c>
      <c r="F34" s="7" t="s">
        <v>31</v>
      </c>
      <c r="G34" s="7" t="s">
        <v>32</v>
      </c>
      <c r="H34" s="7" t="s">
        <v>33</v>
      </c>
      <c r="I34" s="7" t="s">
        <v>33</v>
      </c>
      <c r="J34" s="13" t="str">
        <f aca="false">IF(D34="Y",F34&amp;"-"&amp;G34&amp;"/"&amp;Q34,"-")</f>
        <v>TB-24VDC-2(1)/P1-TBDI1-17(11)</v>
      </c>
      <c r="K34" s="13" t="str">
        <f aca="false">IF(D34="Y",Q34&amp;"/"&amp;F34&amp;"-"&amp;G34,"-")</f>
        <v>P1-TBDI1-17(11)/TB-24VDC-2(1)</v>
      </c>
      <c r="L34" s="7" t="s">
        <v>273</v>
      </c>
      <c r="M34" s="13" t="s">
        <v>274</v>
      </c>
      <c r="N34" s="13" t="s">
        <v>275</v>
      </c>
      <c r="O34" s="7" t="n">
        <v>1</v>
      </c>
      <c r="P34" s="13" t="s">
        <v>276</v>
      </c>
      <c r="Q34" s="13" t="str">
        <f aca="false">A34&amp;"-"&amp;R34&amp;"-"&amp;U34&amp;"("&amp;V34&amp;")"</f>
        <v>P1-TBDI1-17(11)</v>
      </c>
      <c r="R34" s="7" t="s">
        <v>269</v>
      </c>
      <c r="S34" s="7" t="s">
        <v>270</v>
      </c>
      <c r="T34" s="7" t="s">
        <v>271</v>
      </c>
      <c r="U34" s="7" t="n">
        <f aca="false">U35</f>
        <v>17</v>
      </c>
      <c r="V34" s="7" t="n">
        <v>11</v>
      </c>
      <c r="W34" s="13"/>
      <c r="X34" s="7" t="s">
        <v>42</v>
      </c>
    </row>
    <row r="35" customFormat="false" ht="15" hidden="false" customHeight="true" outlineLevel="0" collapsed="false">
      <c r="A35" s="7" t="s">
        <v>263</v>
      </c>
      <c r="B35" s="13" t="str">
        <f aca="false">T35</f>
        <v>1756-IB32</v>
      </c>
      <c r="C35" s="13"/>
      <c r="D35" s="7" t="s">
        <v>34</v>
      </c>
      <c r="E35" s="7" t="s">
        <v>264</v>
      </c>
      <c r="F35" s="7" t="s">
        <v>264</v>
      </c>
      <c r="G35" s="7" t="n">
        <v>19</v>
      </c>
      <c r="H35" s="7" t="s">
        <v>43</v>
      </c>
      <c r="I35" s="7" t="s">
        <v>108</v>
      </c>
      <c r="J35" s="13" t="str">
        <f aca="false">IF(D35="Y",F35&amp;"-"&amp;G35&amp;"/"&amp;Q35,"-")</f>
        <v>C1S4-19/P1-TBDI1-17(14)</v>
      </c>
      <c r="K35" s="13" t="str">
        <f aca="false">IF(D35="Y",Q35&amp;"/"&amp;F35&amp;"-"&amp;G35,"-")</f>
        <v>P1-TBDI1-17(14)/C1S4-19</v>
      </c>
      <c r="L35" s="7" t="s">
        <v>273</v>
      </c>
      <c r="M35" s="13" t="s">
        <v>274</v>
      </c>
      <c r="N35" s="13" t="s">
        <v>275</v>
      </c>
      <c r="O35" s="7" t="n">
        <v>1</v>
      </c>
      <c r="P35" s="13" t="s">
        <v>276</v>
      </c>
      <c r="Q35" s="13" t="str">
        <f aca="false">A35&amp;"-"&amp;R35&amp;"-"&amp;U35&amp;"("&amp;V35&amp;")"</f>
        <v>P1-TBDI1-17(14)</v>
      </c>
      <c r="R35" s="7" t="s">
        <v>269</v>
      </c>
      <c r="S35" s="7" t="s">
        <v>270</v>
      </c>
      <c r="T35" s="7" t="s">
        <v>271</v>
      </c>
      <c r="U35" s="7" t="n">
        <v>17</v>
      </c>
      <c r="V35" s="7" t="n">
        <v>14</v>
      </c>
      <c r="W35" s="13"/>
      <c r="X35" s="7" t="s">
        <v>42</v>
      </c>
    </row>
    <row r="36" customFormat="false" ht="15" hidden="false" customHeight="true" outlineLevel="0" collapsed="false">
      <c r="A36" s="7" t="s">
        <v>263</v>
      </c>
      <c r="B36" s="13" t="str">
        <f aca="false">T36</f>
        <v>1756-IB32</v>
      </c>
      <c r="C36" s="13"/>
      <c r="D36" s="7" t="s">
        <v>34</v>
      </c>
      <c r="E36" s="7" t="s">
        <v>264</v>
      </c>
      <c r="F36" s="7" t="s">
        <v>31</v>
      </c>
      <c r="G36" s="7" t="s">
        <v>32</v>
      </c>
      <c r="H36" s="7" t="s">
        <v>33</v>
      </c>
      <c r="I36" s="7" t="s">
        <v>33</v>
      </c>
      <c r="J36" s="13" t="str">
        <f aca="false">IF(D36="Y",F36&amp;"-"&amp;G36&amp;"/"&amp;Q36,"-")</f>
        <v>TB-24VDC-2(1)/P1-TBDI1-18(11)</v>
      </c>
      <c r="K36" s="13" t="str">
        <f aca="false">IF(D36="Y",Q36&amp;"/"&amp;F36&amp;"-"&amp;G36,"-")</f>
        <v>P1-TBDI1-18(11)/TB-24VDC-2(1)</v>
      </c>
      <c r="L36" s="7" t="s">
        <v>273</v>
      </c>
      <c r="M36" s="13" t="s">
        <v>277</v>
      </c>
      <c r="N36" s="13" t="s">
        <v>278</v>
      </c>
      <c r="O36" s="7" t="n">
        <v>1</v>
      </c>
      <c r="P36" s="13" t="s">
        <v>276</v>
      </c>
      <c r="Q36" s="13" t="str">
        <f aca="false">A36&amp;"-"&amp;R36&amp;"-"&amp;U36&amp;"("&amp;V36&amp;")"</f>
        <v>P1-TBDI1-18(11)</v>
      </c>
      <c r="R36" s="7" t="s">
        <v>269</v>
      </c>
      <c r="S36" s="7" t="s">
        <v>270</v>
      </c>
      <c r="T36" s="7" t="s">
        <v>271</v>
      </c>
      <c r="U36" s="7" t="n">
        <f aca="false">U37</f>
        <v>18</v>
      </c>
      <c r="V36" s="7" t="n">
        <v>11</v>
      </c>
      <c r="W36" s="13"/>
      <c r="X36" s="7" t="s">
        <v>42</v>
      </c>
    </row>
    <row r="37" customFormat="false" ht="15" hidden="false" customHeight="true" outlineLevel="0" collapsed="false">
      <c r="A37" s="7" t="s">
        <v>263</v>
      </c>
      <c r="B37" s="13" t="str">
        <f aca="false">T37</f>
        <v>1756-IB32</v>
      </c>
      <c r="C37" s="13"/>
      <c r="D37" s="7" t="s">
        <v>34</v>
      </c>
      <c r="E37" s="7" t="s">
        <v>264</v>
      </c>
      <c r="F37" s="7" t="s">
        <v>264</v>
      </c>
      <c r="G37" s="7" t="n">
        <v>20</v>
      </c>
      <c r="H37" s="7" t="s">
        <v>43</v>
      </c>
      <c r="I37" s="7" t="s">
        <v>109</v>
      </c>
      <c r="J37" s="13" t="str">
        <f aca="false">IF(D37="Y",F37&amp;"-"&amp;G37&amp;"/"&amp;Q37,"-")</f>
        <v>C1S4-20/P1-TBDI1-18(14)</v>
      </c>
      <c r="K37" s="13" t="str">
        <f aca="false">IF(D37="Y",Q37&amp;"/"&amp;F37&amp;"-"&amp;G37,"-")</f>
        <v>P1-TBDI1-18(14)/C1S4-20</v>
      </c>
      <c r="L37" s="7" t="s">
        <v>273</v>
      </c>
      <c r="M37" s="13" t="s">
        <v>277</v>
      </c>
      <c r="N37" s="13" t="s">
        <v>278</v>
      </c>
      <c r="O37" s="7" t="n">
        <v>1</v>
      </c>
      <c r="P37" s="13" t="s">
        <v>276</v>
      </c>
      <c r="Q37" s="13" t="str">
        <f aca="false">A37&amp;"-"&amp;R37&amp;"-"&amp;U37&amp;"("&amp;V37&amp;")"</f>
        <v>P1-TBDI1-18(14)</v>
      </c>
      <c r="R37" s="7" t="s">
        <v>269</v>
      </c>
      <c r="S37" s="7" t="s">
        <v>270</v>
      </c>
      <c r="T37" s="7" t="s">
        <v>271</v>
      </c>
      <c r="U37" s="7" t="n">
        <v>18</v>
      </c>
      <c r="V37" s="7" t="n">
        <v>14</v>
      </c>
      <c r="W37" s="13"/>
      <c r="X37" s="7" t="s">
        <v>42</v>
      </c>
    </row>
    <row r="38" customFormat="false" ht="15" hidden="false" customHeight="true" outlineLevel="0" collapsed="false">
      <c r="A38" s="7" t="s">
        <v>263</v>
      </c>
      <c r="B38" s="13" t="str">
        <f aca="false">T38</f>
        <v>1756-IB32</v>
      </c>
      <c r="C38" s="13"/>
      <c r="D38" s="7" t="s">
        <v>34</v>
      </c>
      <c r="E38" s="7" t="s">
        <v>264</v>
      </c>
      <c r="F38" s="7" t="s">
        <v>31</v>
      </c>
      <c r="G38" s="7" t="s">
        <v>32</v>
      </c>
      <c r="H38" s="7" t="s">
        <v>33</v>
      </c>
      <c r="I38" s="7" t="s">
        <v>33</v>
      </c>
      <c r="J38" s="13" t="str">
        <f aca="false">IF(D38="Y",F38&amp;"-"&amp;G38&amp;"/"&amp;Q38,"-")</f>
        <v>TB-24VDC-2(1)/P1-TBDI1-19(11)</v>
      </c>
      <c r="K38" s="13" t="str">
        <f aca="false">IF(D38="Y",Q38&amp;"/"&amp;F38&amp;"-"&amp;G38,"-")</f>
        <v>P1-TBDI1-19(11)/TB-24VDC-2(1)</v>
      </c>
      <c r="L38" s="7" t="s">
        <v>273</v>
      </c>
      <c r="M38" s="13" t="s">
        <v>279</v>
      </c>
      <c r="N38" s="13" t="s">
        <v>280</v>
      </c>
      <c r="O38" s="7" t="n">
        <v>1</v>
      </c>
      <c r="P38" s="13" t="s">
        <v>281</v>
      </c>
      <c r="Q38" s="13" t="str">
        <f aca="false">A38&amp;"-"&amp;R38&amp;"-"&amp;U38&amp;"("&amp;V38&amp;")"</f>
        <v>P1-TBDI1-19(11)</v>
      </c>
      <c r="R38" s="7" t="s">
        <v>269</v>
      </c>
      <c r="S38" s="7" t="s">
        <v>270</v>
      </c>
      <c r="T38" s="7" t="s">
        <v>271</v>
      </c>
      <c r="U38" s="7" t="n">
        <f aca="false">U39</f>
        <v>19</v>
      </c>
      <c r="V38" s="7" t="n">
        <v>11</v>
      </c>
      <c r="W38" s="13"/>
      <c r="X38" s="7" t="s">
        <v>42</v>
      </c>
    </row>
    <row r="39" customFormat="false" ht="15" hidden="false" customHeight="true" outlineLevel="0" collapsed="false">
      <c r="A39" s="7" t="s">
        <v>263</v>
      </c>
      <c r="B39" s="13" t="str">
        <f aca="false">T39</f>
        <v>1756-IB32</v>
      </c>
      <c r="C39" s="13"/>
      <c r="D39" s="7" t="s">
        <v>34</v>
      </c>
      <c r="E39" s="7" t="s">
        <v>264</v>
      </c>
      <c r="F39" s="7" t="s">
        <v>264</v>
      </c>
      <c r="G39" s="7" t="n">
        <v>21</v>
      </c>
      <c r="H39" s="7" t="s">
        <v>43</v>
      </c>
      <c r="I39" s="7" t="s">
        <v>112</v>
      </c>
      <c r="J39" s="13" t="str">
        <f aca="false">IF(D39="Y",F39&amp;"-"&amp;G39&amp;"/"&amp;Q39,"-")</f>
        <v>C1S4-21/P1-TBDI1-19(14)</v>
      </c>
      <c r="K39" s="13" t="str">
        <f aca="false">IF(D39="Y",Q39&amp;"/"&amp;F39&amp;"-"&amp;G39,"-")</f>
        <v>P1-TBDI1-19(14)/C1S4-21</v>
      </c>
      <c r="L39" s="7" t="s">
        <v>273</v>
      </c>
      <c r="M39" s="13" t="s">
        <v>279</v>
      </c>
      <c r="N39" s="13" t="s">
        <v>280</v>
      </c>
      <c r="O39" s="7" t="n">
        <v>1</v>
      </c>
      <c r="P39" s="13" t="s">
        <v>281</v>
      </c>
      <c r="Q39" s="13" t="str">
        <f aca="false">A39&amp;"-"&amp;R39&amp;"-"&amp;U39&amp;"("&amp;V39&amp;")"</f>
        <v>P1-TBDI1-19(14)</v>
      </c>
      <c r="R39" s="7" t="s">
        <v>269</v>
      </c>
      <c r="S39" s="7" t="s">
        <v>270</v>
      </c>
      <c r="T39" s="7" t="s">
        <v>271</v>
      </c>
      <c r="U39" s="7" t="n">
        <v>19</v>
      </c>
      <c r="V39" s="7" t="n">
        <v>14</v>
      </c>
      <c r="W39" s="13"/>
      <c r="X39" s="7" t="s">
        <v>42</v>
      </c>
    </row>
    <row r="40" customFormat="false" ht="15" hidden="false" customHeight="true" outlineLevel="0" collapsed="false">
      <c r="A40" s="7" t="s">
        <v>263</v>
      </c>
      <c r="B40" s="13" t="str">
        <f aca="false">T40</f>
        <v>1756-IB32</v>
      </c>
      <c r="C40" s="13"/>
      <c r="D40" s="7" t="s">
        <v>34</v>
      </c>
      <c r="E40" s="7" t="s">
        <v>264</v>
      </c>
      <c r="F40" s="7" t="s">
        <v>31</v>
      </c>
      <c r="G40" s="7" t="s">
        <v>32</v>
      </c>
      <c r="H40" s="7" t="s">
        <v>33</v>
      </c>
      <c r="I40" s="7" t="s">
        <v>33</v>
      </c>
      <c r="J40" s="13" t="str">
        <f aca="false">IF(D40="Y",F40&amp;"-"&amp;G40&amp;"/"&amp;Q40,"-")</f>
        <v>TB-24VDC-2(1)/P1-TBDI1-20(11)</v>
      </c>
      <c r="K40" s="13" t="str">
        <f aca="false">IF(D40="Y",Q40&amp;"/"&amp;F40&amp;"-"&amp;G40,"-")</f>
        <v>P1-TBDI1-20(11)/TB-24VDC-2(1)</v>
      </c>
      <c r="L40" s="7" t="s">
        <v>273</v>
      </c>
      <c r="M40" s="13" t="s">
        <v>282</v>
      </c>
      <c r="N40" s="13" t="s">
        <v>283</v>
      </c>
      <c r="O40" s="7" t="n">
        <v>1</v>
      </c>
      <c r="P40" s="13" t="s">
        <v>284</v>
      </c>
      <c r="Q40" s="13" t="str">
        <f aca="false">A40&amp;"-"&amp;R40&amp;"-"&amp;U40&amp;"("&amp;V40&amp;")"</f>
        <v>P1-TBDI1-20(11)</v>
      </c>
      <c r="R40" s="7" t="s">
        <v>269</v>
      </c>
      <c r="S40" s="7" t="s">
        <v>270</v>
      </c>
      <c r="T40" s="7" t="s">
        <v>271</v>
      </c>
      <c r="U40" s="7" t="n">
        <f aca="false">U41</f>
        <v>20</v>
      </c>
      <c r="V40" s="7" t="n">
        <v>11</v>
      </c>
      <c r="W40" s="13"/>
      <c r="X40" s="7" t="s">
        <v>42</v>
      </c>
    </row>
    <row r="41" customFormat="false" ht="15" hidden="false" customHeight="true" outlineLevel="0" collapsed="false">
      <c r="A41" s="7" t="s">
        <v>263</v>
      </c>
      <c r="B41" s="13" t="str">
        <f aca="false">T41</f>
        <v>1756-IB32</v>
      </c>
      <c r="C41" s="13"/>
      <c r="D41" s="7" t="s">
        <v>34</v>
      </c>
      <c r="E41" s="7" t="s">
        <v>264</v>
      </c>
      <c r="F41" s="7" t="s">
        <v>264</v>
      </c>
      <c r="G41" s="7" t="n">
        <v>22</v>
      </c>
      <c r="H41" s="7" t="s">
        <v>43</v>
      </c>
      <c r="I41" s="7" t="s">
        <v>115</v>
      </c>
      <c r="J41" s="13" t="str">
        <f aca="false">IF(D41="Y",F41&amp;"-"&amp;G41&amp;"/"&amp;Q41,"-")</f>
        <v>C1S4-22/P1-TBDI1-20(14)</v>
      </c>
      <c r="K41" s="13" t="str">
        <f aca="false">IF(D41="Y",Q41&amp;"/"&amp;F41&amp;"-"&amp;G41,"-")</f>
        <v>P1-TBDI1-20(14)/C1S4-22</v>
      </c>
      <c r="L41" s="7" t="s">
        <v>273</v>
      </c>
      <c r="M41" s="13" t="s">
        <v>282</v>
      </c>
      <c r="N41" s="13" t="s">
        <v>283</v>
      </c>
      <c r="O41" s="7" t="n">
        <v>1</v>
      </c>
      <c r="P41" s="13" t="s">
        <v>284</v>
      </c>
      <c r="Q41" s="13" t="str">
        <f aca="false">A41&amp;"-"&amp;R41&amp;"-"&amp;U41&amp;"("&amp;V41&amp;")"</f>
        <v>P1-TBDI1-20(14)</v>
      </c>
      <c r="R41" s="7" t="s">
        <v>269</v>
      </c>
      <c r="S41" s="7" t="s">
        <v>270</v>
      </c>
      <c r="T41" s="7" t="s">
        <v>271</v>
      </c>
      <c r="U41" s="7" t="n">
        <v>20</v>
      </c>
      <c r="V41" s="7" t="n">
        <v>14</v>
      </c>
      <c r="W41" s="13"/>
      <c r="X41" s="7" t="s">
        <v>42</v>
      </c>
    </row>
    <row r="42" customFormat="false" ht="15" hidden="false" customHeight="true" outlineLevel="0" collapsed="false">
      <c r="A42" s="7" t="s">
        <v>263</v>
      </c>
      <c r="B42" s="13" t="str">
        <f aca="false">T42</f>
        <v>1756-IB32</v>
      </c>
      <c r="C42" s="13"/>
      <c r="D42" s="7" t="s">
        <v>34</v>
      </c>
      <c r="E42" s="7" t="s">
        <v>264</v>
      </c>
      <c r="F42" s="7" t="s">
        <v>31</v>
      </c>
      <c r="G42" s="7" t="s">
        <v>32</v>
      </c>
      <c r="H42" s="7" t="s">
        <v>33</v>
      </c>
      <c r="I42" s="7" t="s">
        <v>33</v>
      </c>
      <c r="J42" s="13" t="str">
        <f aca="false">IF(D42="Y",F42&amp;"-"&amp;G42&amp;"/"&amp;Q42,"-")</f>
        <v>TB-24VDC-2(1)/P1-TBDI1-21(11)</v>
      </c>
      <c r="K42" s="13" t="str">
        <f aca="false">IF(D42="Y",Q42&amp;"/"&amp;F42&amp;"-"&amp;G42,"-")</f>
        <v>P1-TBDI1-21(11)/TB-24VDC-2(1)</v>
      </c>
      <c r="L42" s="7" t="s">
        <v>273</v>
      </c>
      <c r="M42" s="13" t="s">
        <v>285</v>
      </c>
      <c r="N42" s="13" t="s">
        <v>286</v>
      </c>
      <c r="O42" s="7" t="n">
        <v>1</v>
      </c>
      <c r="P42" s="13" t="s">
        <v>287</v>
      </c>
      <c r="Q42" s="13" t="str">
        <f aca="false">A42&amp;"-"&amp;R42&amp;"-"&amp;U42&amp;"("&amp;V42&amp;")"</f>
        <v>P1-TBDI1-21(11)</v>
      </c>
      <c r="R42" s="7" t="s">
        <v>269</v>
      </c>
      <c r="S42" s="7" t="s">
        <v>270</v>
      </c>
      <c r="T42" s="7" t="s">
        <v>271</v>
      </c>
      <c r="U42" s="7" t="n">
        <f aca="false">U43</f>
        <v>21</v>
      </c>
      <c r="V42" s="7" t="n">
        <v>11</v>
      </c>
      <c r="W42" s="13"/>
      <c r="X42" s="7" t="s">
        <v>42</v>
      </c>
    </row>
    <row r="43" customFormat="false" ht="15" hidden="false" customHeight="true" outlineLevel="0" collapsed="false">
      <c r="A43" s="7" t="s">
        <v>263</v>
      </c>
      <c r="B43" s="13" t="str">
        <f aca="false">T43</f>
        <v>1756-IB32</v>
      </c>
      <c r="C43" s="13"/>
      <c r="D43" s="7" t="s">
        <v>34</v>
      </c>
      <c r="E43" s="7" t="s">
        <v>264</v>
      </c>
      <c r="F43" s="7" t="s">
        <v>264</v>
      </c>
      <c r="G43" s="7" t="n">
        <v>23</v>
      </c>
      <c r="H43" s="7" t="s">
        <v>43</v>
      </c>
      <c r="I43" s="7" t="s">
        <v>118</v>
      </c>
      <c r="J43" s="13" t="str">
        <f aca="false">IF(D43="Y",F43&amp;"-"&amp;G43&amp;"/"&amp;Q43,"-")</f>
        <v>C1S4-23/P1-TBDI1-21(14)</v>
      </c>
      <c r="K43" s="13" t="str">
        <f aca="false">IF(D43="Y",Q43&amp;"/"&amp;F43&amp;"-"&amp;G43,"-")</f>
        <v>P1-TBDI1-21(14)/C1S4-23</v>
      </c>
      <c r="L43" s="7" t="s">
        <v>273</v>
      </c>
      <c r="M43" s="13" t="s">
        <v>285</v>
      </c>
      <c r="N43" s="13" t="s">
        <v>286</v>
      </c>
      <c r="O43" s="7" t="n">
        <v>1</v>
      </c>
      <c r="P43" s="13" t="s">
        <v>287</v>
      </c>
      <c r="Q43" s="13" t="str">
        <f aca="false">A43&amp;"-"&amp;R43&amp;"-"&amp;U43&amp;"("&amp;V43&amp;")"</f>
        <v>P1-TBDI1-21(14)</v>
      </c>
      <c r="R43" s="7" t="s">
        <v>269</v>
      </c>
      <c r="S43" s="7" t="s">
        <v>270</v>
      </c>
      <c r="T43" s="7" t="s">
        <v>271</v>
      </c>
      <c r="U43" s="7" t="n">
        <v>21</v>
      </c>
      <c r="V43" s="7" t="n">
        <v>14</v>
      </c>
      <c r="W43" s="13"/>
      <c r="X43" s="7" t="s">
        <v>42</v>
      </c>
    </row>
    <row r="44" customFormat="false" ht="15" hidden="false" customHeight="true" outlineLevel="0" collapsed="false">
      <c r="A44" s="7" t="s">
        <v>263</v>
      </c>
      <c r="B44" s="13" t="str">
        <f aca="false">T44</f>
        <v>1756-IB32</v>
      </c>
      <c r="C44" s="13"/>
      <c r="D44" s="7" t="s">
        <v>34</v>
      </c>
      <c r="E44" s="7" t="s">
        <v>264</v>
      </c>
      <c r="F44" s="7" t="s">
        <v>31</v>
      </c>
      <c r="G44" s="7" t="s">
        <v>32</v>
      </c>
      <c r="H44" s="7" t="s">
        <v>33</v>
      </c>
      <c r="I44" s="7" t="s">
        <v>33</v>
      </c>
      <c r="J44" s="13" t="str">
        <f aca="false">IF(D44="Y",F44&amp;"-"&amp;G44&amp;"/"&amp;Q44,"-")</f>
        <v>TB-24VDC-2(1)/P1-TBDI1-22(11)</v>
      </c>
      <c r="K44" s="13" t="str">
        <f aca="false">IF(D44="Y",Q44&amp;"/"&amp;F44&amp;"-"&amp;G44,"-")</f>
        <v>P1-TBDI1-22(11)/TB-24VDC-2(1)</v>
      </c>
      <c r="L44" s="7" t="s">
        <v>273</v>
      </c>
      <c r="M44" s="13" t="s">
        <v>288</v>
      </c>
      <c r="N44" s="13" t="s">
        <v>289</v>
      </c>
      <c r="O44" s="7" t="n">
        <v>1</v>
      </c>
      <c r="P44" s="13" t="s">
        <v>287</v>
      </c>
      <c r="Q44" s="13" t="str">
        <f aca="false">A44&amp;"-"&amp;R44&amp;"-"&amp;U44&amp;"("&amp;V44&amp;")"</f>
        <v>P1-TBDI1-22(11)</v>
      </c>
      <c r="R44" s="7" t="s">
        <v>269</v>
      </c>
      <c r="S44" s="7" t="s">
        <v>270</v>
      </c>
      <c r="T44" s="7" t="s">
        <v>271</v>
      </c>
      <c r="U44" s="7" t="n">
        <f aca="false">U45</f>
        <v>22</v>
      </c>
      <c r="V44" s="7" t="n">
        <v>11</v>
      </c>
      <c r="W44" s="13"/>
      <c r="X44" s="7" t="s">
        <v>42</v>
      </c>
    </row>
    <row r="45" customFormat="false" ht="15" hidden="false" customHeight="true" outlineLevel="0" collapsed="false">
      <c r="A45" s="7" t="s">
        <v>263</v>
      </c>
      <c r="B45" s="13" t="str">
        <f aca="false">T45</f>
        <v>1756-IB32</v>
      </c>
      <c r="C45" s="13"/>
      <c r="D45" s="7" t="s">
        <v>34</v>
      </c>
      <c r="E45" s="7" t="s">
        <v>264</v>
      </c>
      <c r="F45" s="7" t="s">
        <v>264</v>
      </c>
      <c r="G45" s="7" t="n">
        <v>24</v>
      </c>
      <c r="H45" s="7" t="s">
        <v>43</v>
      </c>
      <c r="I45" s="7" t="s">
        <v>121</v>
      </c>
      <c r="J45" s="13" t="str">
        <f aca="false">IF(D45="Y",F45&amp;"-"&amp;G45&amp;"/"&amp;Q45,"-")</f>
        <v>C1S4-24/P1-TBDI1-22(14)</v>
      </c>
      <c r="K45" s="13" t="str">
        <f aca="false">IF(D45="Y",Q45&amp;"/"&amp;F45&amp;"-"&amp;G45,"-")</f>
        <v>P1-TBDI1-22(14)/C1S4-24</v>
      </c>
      <c r="L45" s="7" t="s">
        <v>273</v>
      </c>
      <c r="M45" s="13" t="s">
        <v>288</v>
      </c>
      <c r="N45" s="13" t="s">
        <v>289</v>
      </c>
      <c r="O45" s="7" t="n">
        <v>1</v>
      </c>
      <c r="P45" s="13" t="s">
        <v>287</v>
      </c>
      <c r="Q45" s="13" t="str">
        <f aca="false">A45&amp;"-"&amp;R45&amp;"-"&amp;U45&amp;"("&amp;V45&amp;")"</f>
        <v>P1-TBDI1-22(14)</v>
      </c>
      <c r="R45" s="7" t="s">
        <v>269</v>
      </c>
      <c r="S45" s="7" t="s">
        <v>270</v>
      </c>
      <c r="T45" s="7" t="s">
        <v>271</v>
      </c>
      <c r="U45" s="7" t="n">
        <v>22</v>
      </c>
      <c r="V45" s="7" t="n">
        <v>14</v>
      </c>
      <c r="W45" s="13"/>
      <c r="X45" s="7" t="s">
        <v>42</v>
      </c>
    </row>
    <row r="46" customFormat="false" ht="15" hidden="false" customHeight="true" outlineLevel="0" collapsed="false">
      <c r="A46" s="7" t="s">
        <v>263</v>
      </c>
      <c r="B46" s="13" t="str">
        <f aca="false">T46</f>
        <v>1756-IB32</v>
      </c>
      <c r="C46" s="13"/>
      <c r="D46" s="7" t="s">
        <v>34</v>
      </c>
      <c r="E46" s="7" t="s">
        <v>264</v>
      </c>
      <c r="F46" s="7" t="s">
        <v>31</v>
      </c>
      <c r="G46" s="7" t="s">
        <v>32</v>
      </c>
      <c r="H46" s="7" t="s">
        <v>33</v>
      </c>
      <c r="I46" s="7" t="s">
        <v>33</v>
      </c>
      <c r="J46" s="13" t="str">
        <f aca="false">IF(D46="Y",F46&amp;"-"&amp;G46&amp;"/"&amp;Q46,"-")</f>
        <v>TB-24VDC-2(1)/P1-TBDI1-23(11)</v>
      </c>
      <c r="K46" s="13" t="str">
        <f aca="false">IF(D46="Y",Q46&amp;"/"&amp;F46&amp;"-"&amp;G46,"-")</f>
        <v>P1-TBDI1-23(11)/TB-24VDC-2(1)</v>
      </c>
      <c r="L46" s="7" t="s">
        <v>273</v>
      </c>
      <c r="M46" s="13" t="s">
        <v>290</v>
      </c>
      <c r="N46" s="13" t="s">
        <v>291</v>
      </c>
      <c r="O46" s="7" t="n">
        <v>1</v>
      </c>
      <c r="P46" s="13" t="s">
        <v>287</v>
      </c>
      <c r="Q46" s="13" t="str">
        <f aca="false">A46&amp;"-"&amp;R46&amp;"-"&amp;U46&amp;"("&amp;V46&amp;")"</f>
        <v>P1-TBDI1-23(11)</v>
      </c>
      <c r="R46" s="7" t="s">
        <v>269</v>
      </c>
      <c r="S46" s="7" t="s">
        <v>270</v>
      </c>
      <c r="T46" s="7" t="s">
        <v>271</v>
      </c>
      <c r="U46" s="7" t="n">
        <f aca="false">U47</f>
        <v>23</v>
      </c>
      <c r="V46" s="7" t="n">
        <v>11</v>
      </c>
      <c r="W46" s="13"/>
      <c r="X46" s="7" t="s">
        <v>42</v>
      </c>
    </row>
    <row r="47" customFormat="false" ht="15" hidden="false" customHeight="true" outlineLevel="0" collapsed="false">
      <c r="A47" s="7" t="s">
        <v>263</v>
      </c>
      <c r="B47" s="13" t="str">
        <f aca="false">T47</f>
        <v>1756-IB32</v>
      </c>
      <c r="C47" s="13"/>
      <c r="D47" s="7" t="s">
        <v>34</v>
      </c>
      <c r="E47" s="7" t="s">
        <v>264</v>
      </c>
      <c r="F47" s="7" t="s">
        <v>264</v>
      </c>
      <c r="G47" s="7" t="n">
        <v>25</v>
      </c>
      <c r="H47" s="7" t="s">
        <v>43</v>
      </c>
      <c r="I47" s="7" t="s">
        <v>124</v>
      </c>
      <c r="J47" s="13" t="str">
        <f aca="false">IF(D47="Y",F47&amp;"-"&amp;G47&amp;"/"&amp;Q47,"-")</f>
        <v>C1S4-25/P1-TBDI1-23(14)</v>
      </c>
      <c r="K47" s="13" t="str">
        <f aca="false">IF(D47="Y",Q47&amp;"/"&amp;F47&amp;"-"&amp;G47,"-")</f>
        <v>P1-TBDI1-23(14)/C1S4-25</v>
      </c>
      <c r="L47" s="7" t="s">
        <v>273</v>
      </c>
      <c r="M47" s="13" t="s">
        <v>290</v>
      </c>
      <c r="N47" s="13" t="s">
        <v>291</v>
      </c>
      <c r="O47" s="7" t="n">
        <v>1</v>
      </c>
      <c r="P47" s="13" t="s">
        <v>287</v>
      </c>
      <c r="Q47" s="13" t="str">
        <f aca="false">A47&amp;"-"&amp;R47&amp;"-"&amp;U47&amp;"("&amp;V47&amp;")"</f>
        <v>P1-TBDI1-23(14)</v>
      </c>
      <c r="R47" s="7" t="s">
        <v>269</v>
      </c>
      <c r="S47" s="7" t="s">
        <v>270</v>
      </c>
      <c r="T47" s="7" t="s">
        <v>271</v>
      </c>
      <c r="U47" s="7" t="n">
        <v>23</v>
      </c>
      <c r="V47" s="7" t="n">
        <v>14</v>
      </c>
      <c r="W47" s="13"/>
      <c r="X47" s="7" t="s">
        <v>42</v>
      </c>
    </row>
    <row r="48" customFormat="false" ht="15" hidden="false" customHeight="true" outlineLevel="0" collapsed="false">
      <c r="A48" s="7" t="s">
        <v>263</v>
      </c>
      <c r="B48" s="13" t="str">
        <f aca="false">T48</f>
        <v>1756-IB32</v>
      </c>
      <c r="C48" s="13"/>
      <c r="D48" s="7" t="s">
        <v>34</v>
      </c>
      <c r="E48" s="7" t="s">
        <v>264</v>
      </c>
      <c r="F48" s="7" t="s">
        <v>31</v>
      </c>
      <c r="G48" s="7" t="s">
        <v>32</v>
      </c>
      <c r="H48" s="7" t="s">
        <v>33</v>
      </c>
      <c r="I48" s="7" t="s">
        <v>33</v>
      </c>
      <c r="J48" s="13" t="str">
        <f aca="false">IF(D48="Y",F48&amp;"-"&amp;G48&amp;"/"&amp;Q48,"-")</f>
        <v>TB-24VDC-2(1)/P1-TBDI1-24(11)</v>
      </c>
      <c r="K48" s="13" t="str">
        <f aca="false">IF(D48="Y",Q48&amp;"/"&amp;F48&amp;"-"&amp;G48,"-")</f>
        <v>P1-TBDI1-24(11)/TB-24VDC-2(1)</v>
      </c>
      <c r="L48" s="7" t="s">
        <v>273</v>
      </c>
      <c r="M48" s="13" t="s">
        <v>292</v>
      </c>
      <c r="N48" s="13" t="s">
        <v>293</v>
      </c>
      <c r="O48" s="7" t="n">
        <v>1</v>
      </c>
      <c r="P48" s="13" t="s">
        <v>287</v>
      </c>
      <c r="Q48" s="13" t="str">
        <f aca="false">A48&amp;"-"&amp;R48&amp;"-"&amp;U48&amp;"("&amp;V48&amp;")"</f>
        <v>P1-TBDI1-24(11)</v>
      </c>
      <c r="R48" s="7" t="s">
        <v>269</v>
      </c>
      <c r="S48" s="7" t="s">
        <v>270</v>
      </c>
      <c r="T48" s="7" t="s">
        <v>271</v>
      </c>
      <c r="U48" s="7" t="n">
        <f aca="false">U49</f>
        <v>24</v>
      </c>
      <c r="V48" s="7" t="n">
        <v>11</v>
      </c>
      <c r="W48" s="13"/>
      <c r="X48" s="7" t="s">
        <v>42</v>
      </c>
    </row>
    <row r="49" customFormat="false" ht="15" hidden="false" customHeight="true" outlineLevel="0" collapsed="false">
      <c r="A49" s="7" t="s">
        <v>263</v>
      </c>
      <c r="B49" s="13" t="str">
        <f aca="false">T49</f>
        <v>1756-IB32</v>
      </c>
      <c r="C49" s="13"/>
      <c r="D49" s="7" t="s">
        <v>34</v>
      </c>
      <c r="E49" s="7" t="s">
        <v>264</v>
      </c>
      <c r="F49" s="7" t="s">
        <v>264</v>
      </c>
      <c r="G49" s="7" t="n">
        <v>26</v>
      </c>
      <c r="H49" s="7" t="s">
        <v>43</v>
      </c>
      <c r="I49" s="7" t="s">
        <v>127</v>
      </c>
      <c r="J49" s="13" t="str">
        <f aca="false">IF(D49="Y",F49&amp;"-"&amp;G49&amp;"/"&amp;Q49,"-")</f>
        <v>C1S4-26/P1-TBDI1-24(14)</v>
      </c>
      <c r="K49" s="13" t="str">
        <f aca="false">IF(D49="Y",Q49&amp;"/"&amp;F49&amp;"-"&amp;G49,"-")</f>
        <v>P1-TBDI1-24(14)/C1S4-26</v>
      </c>
      <c r="L49" s="7" t="s">
        <v>273</v>
      </c>
      <c r="M49" s="13" t="s">
        <v>292</v>
      </c>
      <c r="N49" s="13" t="s">
        <v>293</v>
      </c>
      <c r="O49" s="7" t="n">
        <v>1</v>
      </c>
      <c r="P49" s="13" t="s">
        <v>287</v>
      </c>
      <c r="Q49" s="13" t="str">
        <f aca="false">A49&amp;"-"&amp;R49&amp;"-"&amp;U49&amp;"("&amp;V49&amp;")"</f>
        <v>P1-TBDI1-24(14)</v>
      </c>
      <c r="R49" s="7" t="s">
        <v>269</v>
      </c>
      <c r="S49" s="7" t="s">
        <v>270</v>
      </c>
      <c r="T49" s="7" t="s">
        <v>271</v>
      </c>
      <c r="U49" s="7" t="n">
        <v>24</v>
      </c>
      <c r="V49" s="7" t="n">
        <v>14</v>
      </c>
      <c r="W49" s="13"/>
      <c r="X49" s="7" t="s">
        <v>42</v>
      </c>
    </row>
    <row r="50" customFormat="false" ht="15" hidden="false" customHeight="true" outlineLevel="0" collapsed="false">
      <c r="A50" s="7" t="s">
        <v>263</v>
      </c>
      <c r="B50" s="13" t="str">
        <f aca="false">T50</f>
        <v>1756-IB32</v>
      </c>
      <c r="C50" s="13"/>
      <c r="D50" s="7" t="s">
        <v>34</v>
      </c>
      <c r="E50" s="7" t="s">
        <v>264</v>
      </c>
      <c r="F50" s="7" t="s">
        <v>31</v>
      </c>
      <c r="G50" s="7" t="s">
        <v>32</v>
      </c>
      <c r="H50" s="7" t="s">
        <v>33</v>
      </c>
      <c r="I50" s="7" t="s">
        <v>33</v>
      </c>
      <c r="J50" s="13" t="str">
        <f aca="false">IF(D50="Y",F50&amp;"-"&amp;G50&amp;"/"&amp;Q50,"-")</f>
        <v>TB-24VDC-2(1)/P1-TBDI1-25(11)</v>
      </c>
      <c r="K50" s="13" t="str">
        <f aca="false">IF(D50="Y",Q50&amp;"/"&amp;F50&amp;"-"&amp;G50,"-")</f>
        <v>P1-TBDI1-25(11)/TB-24VDC-2(1)</v>
      </c>
      <c r="L50" s="7" t="s">
        <v>273</v>
      </c>
      <c r="M50" s="13" t="s">
        <v>294</v>
      </c>
      <c r="N50" s="13" t="s">
        <v>295</v>
      </c>
      <c r="O50" s="7" t="n">
        <v>1</v>
      </c>
      <c r="P50" s="13" t="s">
        <v>287</v>
      </c>
      <c r="Q50" s="13" t="str">
        <f aca="false">A50&amp;"-"&amp;R50&amp;"-"&amp;U50&amp;"("&amp;V50&amp;")"</f>
        <v>P1-TBDI1-25(11)</v>
      </c>
      <c r="R50" s="7" t="s">
        <v>269</v>
      </c>
      <c r="S50" s="7" t="s">
        <v>270</v>
      </c>
      <c r="T50" s="7" t="s">
        <v>271</v>
      </c>
      <c r="U50" s="7" t="n">
        <f aca="false">U51</f>
        <v>25</v>
      </c>
      <c r="V50" s="7" t="n">
        <v>11</v>
      </c>
      <c r="W50" s="13"/>
      <c r="X50" s="7" t="s">
        <v>42</v>
      </c>
    </row>
    <row r="51" customFormat="false" ht="15" hidden="false" customHeight="true" outlineLevel="0" collapsed="false">
      <c r="A51" s="7" t="s">
        <v>263</v>
      </c>
      <c r="B51" s="13" t="str">
        <f aca="false">T51</f>
        <v>1756-IB32</v>
      </c>
      <c r="C51" s="13"/>
      <c r="D51" s="7" t="s">
        <v>34</v>
      </c>
      <c r="E51" s="7" t="s">
        <v>264</v>
      </c>
      <c r="F51" s="7" t="s">
        <v>264</v>
      </c>
      <c r="G51" s="7" t="n">
        <v>27</v>
      </c>
      <c r="H51" s="7" t="s">
        <v>43</v>
      </c>
      <c r="I51" s="7" t="s">
        <v>131</v>
      </c>
      <c r="J51" s="13" t="str">
        <f aca="false">IF(D51="Y",F51&amp;"-"&amp;G51&amp;"/"&amp;Q51,"-")</f>
        <v>C1S4-27/P1-TBDI1-25(14)</v>
      </c>
      <c r="K51" s="13" t="str">
        <f aca="false">IF(D51="Y",Q51&amp;"/"&amp;F51&amp;"-"&amp;G51,"-")</f>
        <v>P1-TBDI1-25(14)/C1S4-27</v>
      </c>
      <c r="L51" s="7" t="s">
        <v>273</v>
      </c>
      <c r="M51" s="13" t="s">
        <v>294</v>
      </c>
      <c r="N51" s="13" t="s">
        <v>295</v>
      </c>
      <c r="O51" s="7" t="n">
        <v>1</v>
      </c>
      <c r="P51" s="13" t="s">
        <v>287</v>
      </c>
      <c r="Q51" s="13" t="str">
        <f aca="false">A51&amp;"-"&amp;R51&amp;"-"&amp;U51&amp;"("&amp;V51&amp;")"</f>
        <v>P1-TBDI1-25(14)</v>
      </c>
      <c r="R51" s="7" t="s">
        <v>269</v>
      </c>
      <c r="S51" s="7" t="s">
        <v>270</v>
      </c>
      <c r="T51" s="7" t="s">
        <v>271</v>
      </c>
      <c r="U51" s="7" t="n">
        <v>25</v>
      </c>
      <c r="V51" s="7" t="n">
        <v>14</v>
      </c>
      <c r="W51" s="13"/>
      <c r="X51" s="7" t="s">
        <v>42</v>
      </c>
    </row>
    <row r="52" customFormat="false" ht="15" hidden="false" customHeight="true" outlineLevel="0" collapsed="false">
      <c r="A52" s="7" t="s">
        <v>263</v>
      </c>
      <c r="B52" s="13" t="str">
        <f aca="false">T52</f>
        <v>1756-IB32</v>
      </c>
      <c r="C52" s="13"/>
      <c r="D52" s="7" t="s">
        <v>34</v>
      </c>
      <c r="E52" s="7" t="s">
        <v>264</v>
      </c>
      <c r="F52" s="7" t="s">
        <v>31</v>
      </c>
      <c r="G52" s="7" t="s">
        <v>32</v>
      </c>
      <c r="H52" s="7" t="s">
        <v>33</v>
      </c>
      <c r="I52" s="7" t="s">
        <v>33</v>
      </c>
      <c r="J52" s="13" t="str">
        <f aca="false">IF(D52="Y",F52&amp;"-"&amp;G52&amp;"/"&amp;Q52,"-")</f>
        <v>TB-24VDC-2(1)/P1-TBDI1-26(11)</v>
      </c>
      <c r="K52" s="13" t="str">
        <f aca="false">IF(D52="Y",Q52&amp;"/"&amp;F52&amp;"-"&amp;G52,"-")</f>
        <v>P1-TBDI1-26(11)/TB-24VDC-2(1)</v>
      </c>
      <c r="L52" s="7" t="s">
        <v>273</v>
      </c>
      <c r="M52" s="13" t="s">
        <v>296</v>
      </c>
      <c r="N52" s="13" t="s">
        <v>297</v>
      </c>
      <c r="O52" s="7" t="n">
        <v>1</v>
      </c>
      <c r="P52" s="13" t="s">
        <v>287</v>
      </c>
      <c r="Q52" s="13" t="str">
        <f aca="false">A52&amp;"-"&amp;R52&amp;"-"&amp;U52&amp;"("&amp;V52&amp;")"</f>
        <v>P1-TBDI1-26(11)</v>
      </c>
      <c r="R52" s="7" t="s">
        <v>269</v>
      </c>
      <c r="S52" s="7" t="s">
        <v>270</v>
      </c>
      <c r="T52" s="7" t="s">
        <v>271</v>
      </c>
      <c r="U52" s="7" t="n">
        <f aca="false">U53</f>
        <v>26</v>
      </c>
      <c r="V52" s="7" t="n">
        <v>11</v>
      </c>
      <c r="W52" s="13"/>
      <c r="X52" s="7" t="s">
        <v>42</v>
      </c>
    </row>
    <row r="53" customFormat="false" ht="15" hidden="false" customHeight="true" outlineLevel="0" collapsed="false">
      <c r="A53" s="7" t="s">
        <v>263</v>
      </c>
      <c r="B53" s="13" t="str">
        <f aca="false">T53</f>
        <v>1756-IB32</v>
      </c>
      <c r="C53" s="13"/>
      <c r="D53" s="7" t="s">
        <v>34</v>
      </c>
      <c r="E53" s="7" t="s">
        <v>264</v>
      </c>
      <c r="F53" s="7" t="s">
        <v>264</v>
      </c>
      <c r="G53" s="7" t="n">
        <v>28</v>
      </c>
      <c r="H53" s="7" t="s">
        <v>43</v>
      </c>
      <c r="I53" s="7" t="s">
        <v>134</v>
      </c>
      <c r="J53" s="13" t="str">
        <f aca="false">IF(D53="Y",F53&amp;"-"&amp;G53&amp;"/"&amp;Q53,"-")</f>
        <v>C1S4-28/P1-TBDI1-26(14)</v>
      </c>
      <c r="K53" s="13" t="str">
        <f aca="false">IF(D53="Y",Q53&amp;"/"&amp;F53&amp;"-"&amp;G53,"-")</f>
        <v>P1-TBDI1-26(14)/C1S4-28</v>
      </c>
      <c r="L53" s="7" t="s">
        <v>273</v>
      </c>
      <c r="M53" s="13" t="s">
        <v>296</v>
      </c>
      <c r="N53" s="13" t="s">
        <v>297</v>
      </c>
      <c r="O53" s="7" t="n">
        <v>1</v>
      </c>
      <c r="P53" s="13" t="s">
        <v>287</v>
      </c>
      <c r="Q53" s="13" t="str">
        <f aca="false">A53&amp;"-"&amp;R53&amp;"-"&amp;U53&amp;"("&amp;V53&amp;")"</f>
        <v>P1-TBDI1-26(14)</v>
      </c>
      <c r="R53" s="7" t="s">
        <v>269</v>
      </c>
      <c r="S53" s="7" t="s">
        <v>270</v>
      </c>
      <c r="T53" s="7" t="s">
        <v>271</v>
      </c>
      <c r="U53" s="7" t="n">
        <v>26</v>
      </c>
      <c r="V53" s="7" t="n">
        <v>14</v>
      </c>
      <c r="W53" s="13"/>
      <c r="X53" s="7" t="s">
        <v>42</v>
      </c>
    </row>
    <row r="54" customFormat="false" ht="15" hidden="false" customHeight="true" outlineLevel="0" collapsed="false">
      <c r="A54" s="7" t="s">
        <v>263</v>
      </c>
      <c r="B54" s="13" t="str">
        <f aca="false">T54</f>
        <v>1756-IB32</v>
      </c>
      <c r="C54" s="13"/>
      <c r="D54" s="7" t="s">
        <v>34</v>
      </c>
      <c r="E54" s="7" t="s">
        <v>264</v>
      </c>
      <c r="F54" s="7" t="s">
        <v>31</v>
      </c>
      <c r="G54" s="7" t="s">
        <v>32</v>
      </c>
      <c r="H54" s="7" t="s">
        <v>33</v>
      </c>
      <c r="I54" s="7" t="s">
        <v>33</v>
      </c>
      <c r="J54" s="13" t="str">
        <f aca="false">IF(D54="Y",F54&amp;"-"&amp;G54&amp;"/"&amp;Q54,"-")</f>
        <v>TB-24VDC-2(1)/P1-TBDI1-27(11)</v>
      </c>
      <c r="K54" s="13" t="str">
        <f aca="false">IF(D54="Y",Q54&amp;"/"&amp;F54&amp;"-"&amp;G54,"-")</f>
        <v>P1-TBDI1-27(11)/TB-24VDC-2(1)</v>
      </c>
      <c r="L54" s="7" t="s">
        <v>273</v>
      </c>
      <c r="M54" s="13" t="s">
        <v>298</v>
      </c>
      <c r="N54" s="13" t="s">
        <v>299</v>
      </c>
      <c r="O54" s="7" t="n">
        <v>1</v>
      </c>
      <c r="P54" s="13" t="s">
        <v>300</v>
      </c>
      <c r="Q54" s="13" t="str">
        <f aca="false">A54&amp;"-"&amp;R54&amp;"-"&amp;U54&amp;"("&amp;V54&amp;")"</f>
        <v>P1-TBDI1-27(11)</v>
      </c>
      <c r="R54" s="7" t="s">
        <v>269</v>
      </c>
      <c r="S54" s="7" t="s">
        <v>270</v>
      </c>
      <c r="T54" s="7" t="s">
        <v>271</v>
      </c>
      <c r="U54" s="7" t="n">
        <f aca="false">U55</f>
        <v>27</v>
      </c>
      <c r="V54" s="7" t="n">
        <v>11</v>
      </c>
      <c r="W54" s="13"/>
      <c r="X54" s="7" t="s">
        <v>42</v>
      </c>
    </row>
    <row r="55" customFormat="false" ht="15" hidden="false" customHeight="true" outlineLevel="0" collapsed="false">
      <c r="A55" s="7" t="s">
        <v>263</v>
      </c>
      <c r="B55" s="13" t="str">
        <f aca="false">T55</f>
        <v>1756-IB32</v>
      </c>
      <c r="C55" s="13"/>
      <c r="D55" s="7" t="s">
        <v>34</v>
      </c>
      <c r="E55" s="7" t="s">
        <v>264</v>
      </c>
      <c r="F55" s="7" t="s">
        <v>264</v>
      </c>
      <c r="G55" s="7" t="n">
        <v>29</v>
      </c>
      <c r="H55" s="7" t="s">
        <v>43</v>
      </c>
      <c r="I55" s="7" t="s">
        <v>137</v>
      </c>
      <c r="J55" s="13" t="str">
        <f aca="false">IF(D55="Y",F55&amp;"-"&amp;G55&amp;"/"&amp;Q55,"-")</f>
        <v>C1S4-29/P1-TBDI1-27(14)</v>
      </c>
      <c r="K55" s="13" t="str">
        <f aca="false">IF(D55="Y",Q55&amp;"/"&amp;F55&amp;"-"&amp;G55,"-")</f>
        <v>P1-TBDI1-27(14)/C1S4-29</v>
      </c>
      <c r="L55" s="7" t="s">
        <v>273</v>
      </c>
      <c r="M55" s="13" t="s">
        <v>298</v>
      </c>
      <c r="N55" s="13" t="s">
        <v>299</v>
      </c>
      <c r="O55" s="7" t="n">
        <v>1</v>
      </c>
      <c r="P55" s="13" t="s">
        <v>300</v>
      </c>
      <c r="Q55" s="13" t="str">
        <f aca="false">A55&amp;"-"&amp;R55&amp;"-"&amp;U55&amp;"("&amp;V55&amp;")"</f>
        <v>P1-TBDI1-27(14)</v>
      </c>
      <c r="R55" s="7" t="s">
        <v>269</v>
      </c>
      <c r="S55" s="7" t="s">
        <v>270</v>
      </c>
      <c r="T55" s="7" t="s">
        <v>271</v>
      </c>
      <c r="U55" s="7" t="n">
        <v>27</v>
      </c>
      <c r="V55" s="7" t="n">
        <v>14</v>
      </c>
      <c r="W55" s="13"/>
      <c r="X55" s="7" t="s">
        <v>42</v>
      </c>
    </row>
    <row r="56" customFormat="false" ht="15" hidden="false" customHeight="true" outlineLevel="0" collapsed="false">
      <c r="A56" s="7" t="s">
        <v>263</v>
      </c>
      <c r="B56" s="13" t="str">
        <f aca="false">T56</f>
        <v>1756-IB32</v>
      </c>
      <c r="C56" s="13"/>
      <c r="D56" s="7" t="s">
        <v>34</v>
      </c>
      <c r="E56" s="7" t="s">
        <v>264</v>
      </c>
      <c r="F56" s="7" t="s">
        <v>31</v>
      </c>
      <c r="G56" s="7" t="s">
        <v>103</v>
      </c>
      <c r="H56" s="7" t="s">
        <v>33</v>
      </c>
      <c r="I56" s="7" t="s">
        <v>33</v>
      </c>
      <c r="J56" s="13" t="str">
        <f aca="false">IF(D56="Y",F56&amp;"-"&amp;G56&amp;"/"&amp;Q56,"-")</f>
        <v>TB-24VDC-2(2)/P1-TBDI1-28(11)</v>
      </c>
      <c r="K56" s="13" t="str">
        <f aca="false">IF(D56="Y",Q56&amp;"/"&amp;F56&amp;"-"&amp;G56,"-")</f>
        <v>P1-TBDI1-28(11)/TB-24VDC-2(2)</v>
      </c>
      <c r="L56" s="7" t="s">
        <v>273</v>
      </c>
      <c r="M56" s="13" t="s">
        <v>298</v>
      </c>
      <c r="N56" s="13" t="s">
        <v>301</v>
      </c>
      <c r="O56" s="7" t="n">
        <v>1</v>
      </c>
      <c r="P56" s="13" t="s">
        <v>300</v>
      </c>
      <c r="Q56" s="13" t="str">
        <f aca="false">A56&amp;"-"&amp;R56&amp;"-"&amp;U56&amp;"("&amp;V56&amp;")"</f>
        <v>P1-TBDI1-28(11)</v>
      </c>
      <c r="R56" s="7" t="s">
        <v>269</v>
      </c>
      <c r="S56" s="7" t="s">
        <v>270</v>
      </c>
      <c r="T56" s="7" t="s">
        <v>271</v>
      </c>
      <c r="U56" s="7" t="n">
        <f aca="false">U57</f>
        <v>28</v>
      </c>
      <c r="V56" s="7" t="n">
        <v>11</v>
      </c>
      <c r="W56" s="13"/>
      <c r="X56" s="7" t="s">
        <v>42</v>
      </c>
    </row>
    <row r="57" customFormat="false" ht="15" hidden="false" customHeight="true" outlineLevel="0" collapsed="false">
      <c r="A57" s="7" t="s">
        <v>263</v>
      </c>
      <c r="B57" s="13" t="str">
        <f aca="false">T57</f>
        <v>1756-IB32</v>
      </c>
      <c r="C57" s="13"/>
      <c r="D57" s="7" t="s">
        <v>34</v>
      </c>
      <c r="E57" s="7" t="s">
        <v>264</v>
      </c>
      <c r="F57" s="7" t="s">
        <v>264</v>
      </c>
      <c r="G57" s="7" t="n">
        <v>30</v>
      </c>
      <c r="H57" s="7" t="s">
        <v>43</v>
      </c>
      <c r="I57" s="7" t="s">
        <v>140</v>
      </c>
      <c r="J57" s="13" t="str">
        <f aca="false">IF(D57="Y",F57&amp;"-"&amp;G57&amp;"/"&amp;Q57,"-")</f>
        <v>C1S4-30/P1-TBDI1-28(14)</v>
      </c>
      <c r="K57" s="13" t="str">
        <f aca="false">IF(D57="Y",Q57&amp;"/"&amp;F57&amp;"-"&amp;G57,"-")</f>
        <v>P1-TBDI1-28(14)/C1S4-30</v>
      </c>
      <c r="L57" s="7" t="s">
        <v>273</v>
      </c>
      <c r="M57" s="13" t="s">
        <v>298</v>
      </c>
      <c r="N57" s="13" t="s">
        <v>301</v>
      </c>
      <c r="O57" s="7" t="n">
        <v>2</v>
      </c>
      <c r="P57" s="13" t="s">
        <v>300</v>
      </c>
      <c r="Q57" s="13" t="str">
        <f aca="false">A57&amp;"-"&amp;R57&amp;"-"&amp;U57&amp;"("&amp;V57&amp;")"</f>
        <v>P1-TBDI1-28(14)</v>
      </c>
      <c r="R57" s="7" t="s">
        <v>269</v>
      </c>
      <c r="S57" s="7" t="s">
        <v>270</v>
      </c>
      <c r="T57" s="7" t="s">
        <v>271</v>
      </c>
      <c r="U57" s="7" t="n">
        <v>28</v>
      </c>
      <c r="V57" s="7" t="n">
        <v>14</v>
      </c>
      <c r="W57" s="13"/>
      <c r="X57" s="7" t="s">
        <v>42</v>
      </c>
    </row>
    <row r="58" customFormat="false" ht="15" hidden="false" customHeight="true" outlineLevel="0" collapsed="false">
      <c r="A58" s="7" t="s">
        <v>263</v>
      </c>
      <c r="B58" s="13" t="str">
        <f aca="false">T58</f>
        <v>1756-IB32</v>
      </c>
      <c r="C58" s="13"/>
      <c r="D58" s="7" t="s">
        <v>34</v>
      </c>
      <c r="E58" s="7" t="s">
        <v>264</v>
      </c>
      <c r="F58" s="7" t="s">
        <v>31</v>
      </c>
      <c r="G58" s="7" t="s">
        <v>32</v>
      </c>
      <c r="H58" s="7" t="s">
        <v>33</v>
      </c>
      <c r="I58" s="7" t="s">
        <v>33</v>
      </c>
      <c r="J58" s="13" t="str">
        <f aca="false">IF(D58="Y",F58&amp;"-"&amp;G58&amp;"/"&amp;Q58,"-")</f>
        <v>TB-24VDC-2(1)/P1-TBDI1-29(11)</v>
      </c>
      <c r="K58" s="13" t="str">
        <f aca="false">IF(D58="Y",Q58&amp;"/"&amp;F58&amp;"-"&amp;G58,"-")</f>
        <v>P1-TBDI1-29(11)/TB-24VDC-2(1)</v>
      </c>
      <c r="L58" s="7" t="s">
        <v>273</v>
      </c>
      <c r="M58" s="13" t="s">
        <v>302</v>
      </c>
      <c r="N58" s="13" t="s">
        <v>303</v>
      </c>
      <c r="O58" s="7" t="n">
        <v>1</v>
      </c>
      <c r="P58" s="13" t="s">
        <v>300</v>
      </c>
      <c r="Q58" s="13" t="str">
        <f aca="false">A58&amp;"-"&amp;R58&amp;"-"&amp;U58&amp;"("&amp;V58&amp;")"</f>
        <v>P1-TBDI1-29(11)</v>
      </c>
      <c r="R58" s="7" t="s">
        <v>269</v>
      </c>
      <c r="S58" s="7" t="s">
        <v>270</v>
      </c>
      <c r="T58" s="7" t="s">
        <v>271</v>
      </c>
      <c r="U58" s="7" t="n">
        <f aca="false">U59</f>
        <v>29</v>
      </c>
      <c r="V58" s="7" t="n">
        <v>11</v>
      </c>
      <c r="W58" s="13"/>
      <c r="X58" s="7" t="s">
        <v>42</v>
      </c>
    </row>
    <row r="59" customFormat="false" ht="15" hidden="false" customHeight="true" outlineLevel="0" collapsed="false">
      <c r="A59" s="7" t="s">
        <v>263</v>
      </c>
      <c r="B59" s="13" t="str">
        <f aca="false">T59</f>
        <v>1756-IB32</v>
      </c>
      <c r="C59" s="13"/>
      <c r="D59" s="7" t="s">
        <v>34</v>
      </c>
      <c r="E59" s="7" t="s">
        <v>264</v>
      </c>
      <c r="F59" s="7" t="s">
        <v>264</v>
      </c>
      <c r="G59" s="7" t="n">
        <v>31</v>
      </c>
      <c r="H59" s="7" t="s">
        <v>43</v>
      </c>
      <c r="I59" s="7" t="s">
        <v>143</v>
      </c>
      <c r="J59" s="13" t="str">
        <f aca="false">IF(D59="Y",F59&amp;"-"&amp;G59&amp;"/"&amp;Q59,"-")</f>
        <v>C1S4-31/P1-TBDI1-29(14)</v>
      </c>
      <c r="K59" s="13" t="str">
        <f aca="false">IF(D59="Y",Q59&amp;"/"&amp;F59&amp;"-"&amp;G59,"-")</f>
        <v>P1-TBDI1-29(14)/C1S4-31</v>
      </c>
      <c r="L59" s="7" t="s">
        <v>273</v>
      </c>
      <c r="M59" s="13" t="s">
        <v>302</v>
      </c>
      <c r="N59" s="13" t="s">
        <v>303</v>
      </c>
      <c r="O59" s="7" t="n">
        <v>1</v>
      </c>
      <c r="P59" s="13" t="s">
        <v>300</v>
      </c>
      <c r="Q59" s="13" t="str">
        <f aca="false">A59&amp;"-"&amp;R59&amp;"-"&amp;U59&amp;"("&amp;V59&amp;")"</f>
        <v>P1-TBDI1-29(14)</v>
      </c>
      <c r="R59" s="7" t="s">
        <v>269</v>
      </c>
      <c r="S59" s="7" t="s">
        <v>270</v>
      </c>
      <c r="T59" s="7" t="s">
        <v>271</v>
      </c>
      <c r="U59" s="7" t="n">
        <v>29</v>
      </c>
      <c r="V59" s="7" t="n">
        <v>14</v>
      </c>
      <c r="W59" s="13"/>
      <c r="X59" s="7" t="s">
        <v>42</v>
      </c>
    </row>
    <row r="60" customFormat="false" ht="15" hidden="false" customHeight="true" outlineLevel="0" collapsed="false">
      <c r="A60" s="7" t="s">
        <v>263</v>
      </c>
      <c r="B60" s="13" t="str">
        <f aca="false">T60</f>
        <v>1756-IB32</v>
      </c>
      <c r="C60" s="13"/>
      <c r="D60" s="7" t="s">
        <v>34</v>
      </c>
      <c r="E60" s="7" t="s">
        <v>264</v>
      </c>
      <c r="F60" s="7" t="s">
        <v>31</v>
      </c>
      <c r="G60" s="7" t="s">
        <v>103</v>
      </c>
      <c r="H60" s="7" t="s">
        <v>33</v>
      </c>
      <c r="I60" s="7" t="s">
        <v>33</v>
      </c>
      <c r="J60" s="13" t="str">
        <f aca="false">IF(D60="Y",F60&amp;"-"&amp;G60&amp;"/"&amp;Q60,"-")</f>
        <v>TB-24VDC-2(2)/P1-TBDI1-30(11)</v>
      </c>
      <c r="K60" s="13" t="str">
        <f aca="false">IF(D60="Y",Q60&amp;"/"&amp;F60&amp;"-"&amp;G60,"-")</f>
        <v>P1-TBDI1-30(11)/TB-24VDC-2(2)</v>
      </c>
      <c r="L60" s="7" t="s">
        <v>273</v>
      </c>
      <c r="M60" s="13" t="s">
        <v>302</v>
      </c>
      <c r="N60" s="13" t="s">
        <v>304</v>
      </c>
      <c r="O60" s="7" t="n">
        <v>1</v>
      </c>
      <c r="P60" s="13" t="s">
        <v>300</v>
      </c>
      <c r="Q60" s="13" t="str">
        <f aca="false">A60&amp;"-"&amp;R60&amp;"-"&amp;U60&amp;"("&amp;V60&amp;")"</f>
        <v>P1-TBDI1-30(11)</v>
      </c>
      <c r="R60" s="7" t="s">
        <v>269</v>
      </c>
      <c r="S60" s="7" t="s">
        <v>270</v>
      </c>
      <c r="T60" s="7" t="s">
        <v>271</v>
      </c>
      <c r="U60" s="7" t="n">
        <f aca="false">U61</f>
        <v>30</v>
      </c>
      <c r="V60" s="7" t="n">
        <v>11</v>
      </c>
      <c r="W60" s="13"/>
      <c r="X60" s="7" t="s">
        <v>42</v>
      </c>
    </row>
    <row r="61" customFormat="false" ht="15" hidden="false" customHeight="true" outlineLevel="0" collapsed="false">
      <c r="A61" s="7" t="s">
        <v>263</v>
      </c>
      <c r="B61" s="13" t="str">
        <f aca="false">T61</f>
        <v>1756-IB32</v>
      </c>
      <c r="C61" s="13"/>
      <c r="D61" s="7" t="s">
        <v>34</v>
      </c>
      <c r="E61" s="7" t="s">
        <v>264</v>
      </c>
      <c r="F61" s="7" t="s">
        <v>264</v>
      </c>
      <c r="G61" s="7" t="n">
        <v>32</v>
      </c>
      <c r="H61" s="7" t="s">
        <v>43</v>
      </c>
      <c r="I61" s="7" t="s">
        <v>146</v>
      </c>
      <c r="J61" s="13" t="str">
        <f aca="false">IF(D61="Y",F61&amp;"-"&amp;G61&amp;"/"&amp;Q61,"-")</f>
        <v>C1S4-32/P1-TBDI1-30(14)</v>
      </c>
      <c r="K61" s="13" t="str">
        <f aca="false">IF(D61="Y",Q61&amp;"/"&amp;F61&amp;"-"&amp;G61,"-")</f>
        <v>P1-TBDI1-30(14)/C1S4-32</v>
      </c>
      <c r="L61" s="7" t="s">
        <v>273</v>
      </c>
      <c r="M61" s="13" t="s">
        <v>302</v>
      </c>
      <c r="N61" s="13" t="s">
        <v>304</v>
      </c>
      <c r="O61" s="7" t="n">
        <v>2</v>
      </c>
      <c r="P61" s="13" t="s">
        <v>300</v>
      </c>
      <c r="Q61" s="13" t="str">
        <f aca="false">A61&amp;"-"&amp;R61&amp;"-"&amp;U61&amp;"("&amp;V61&amp;")"</f>
        <v>P1-TBDI1-30(14)</v>
      </c>
      <c r="R61" s="7" t="s">
        <v>269</v>
      </c>
      <c r="S61" s="7" t="s">
        <v>270</v>
      </c>
      <c r="T61" s="7" t="s">
        <v>271</v>
      </c>
      <c r="U61" s="7" t="n">
        <v>30</v>
      </c>
      <c r="V61" s="7" t="n">
        <v>14</v>
      </c>
      <c r="W61" s="13"/>
      <c r="X61" s="7" t="s">
        <v>42</v>
      </c>
    </row>
    <row r="62" customFormat="false" ht="15" hidden="false" customHeight="true" outlineLevel="0" collapsed="false">
      <c r="A62" s="7" t="s">
        <v>263</v>
      </c>
      <c r="B62" s="13" t="str">
        <f aca="false">T62</f>
        <v>1756-IB32</v>
      </c>
      <c r="C62" s="13"/>
      <c r="D62" s="7" t="s">
        <v>34</v>
      </c>
      <c r="E62" s="7" t="s">
        <v>264</v>
      </c>
      <c r="F62" s="7" t="s">
        <v>31</v>
      </c>
      <c r="G62" s="7" t="s">
        <v>32</v>
      </c>
      <c r="H62" s="7" t="s">
        <v>33</v>
      </c>
      <c r="I62" s="7" t="s">
        <v>33</v>
      </c>
      <c r="J62" s="13" t="str">
        <f aca="false">IF(D62="Y",F62&amp;"-"&amp;G62&amp;"/"&amp;Q62,"-")</f>
        <v>TB-24VDC-2(1)/P1-TBDI1-31(11)</v>
      </c>
      <c r="K62" s="13" t="str">
        <f aca="false">IF(D62="Y",Q62&amp;"/"&amp;F62&amp;"-"&amp;G62,"-")</f>
        <v>P1-TBDI1-31(11)/TB-24VDC-2(1)</v>
      </c>
      <c r="L62" s="7" t="s">
        <v>273</v>
      </c>
      <c r="M62" s="13" t="s">
        <v>305</v>
      </c>
      <c r="N62" s="13" t="s">
        <v>306</v>
      </c>
      <c r="O62" s="7" t="n">
        <v>1</v>
      </c>
      <c r="P62" s="13" t="s">
        <v>300</v>
      </c>
      <c r="Q62" s="13" t="str">
        <f aca="false">A62&amp;"-"&amp;R62&amp;"-"&amp;U62&amp;"("&amp;V62&amp;")"</f>
        <v>P1-TBDI1-31(11)</v>
      </c>
      <c r="R62" s="7" t="s">
        <v>269</v>
      </c>
      <c r="S62" s="7" t="s">
        <v>270</v>
      </c>
      <c r="T62" s="7" t="s">
        <v>271</v>
      </c>
      <c r="U62" s="7" t="n">
        <f aca="false">U63</f>
        <v>31</v>
      </c>
      <c r="V62" s="7" t="n">
        <v>11</v>
      </c>
      <c r="W62" s="13"/>
      <c r="X62" s="7" t="s">
        <v>42</v>
      </c>
    </row>
    <row r="63" customFormat="false" ht="15" hidden="false" customHeight="true" outlineLevel="0" collapsed="false">
      <c r="A63" s="7" t="s">
        <v>263</v>
      </c>
      <c r="B63" s="13" t="str">
        <f aca="false">T63</f>
        <v>1756-IB32</v>
      </c>
      <c r="C63" s="13"/>
      <c r="D63" s="7" t="s">
        <v>34</v>
      </c>
      <c r="E63" s="7" t="s">
        <v>264</v>
      </c>
      <c r="F63" s="7" t="s">
        <v>264</v>
      </c>
      <c r="G63" s="7" t="n">
        <v>33</v>
      </c>
      <c r="H63" s="7" t="s">
        <v>43</v>
      </c>
      <c r="I63" s="7" t="s">
        <v>149</v>
      </c>
      <c r="J63" s="13" t="str">
        <f aca="false">IF(D63="Y",F63&amp;"-"&amp;G63&amp;"/"&amp;Q63,"-")</f>
        <v>C1S4-33/P1-TBDI1-31(14)</v>
      </c>
      <c r="K63" s="13" t="str">
        <f aca="false">IF(D63="Y",Q63&amp;"/"&amp;F63&amp;"-"&amp;G63,"-")</f>
        <v>P1-TBDI1-31(14)/C1S4-33</v>
      </c>
      <c r="L63" s="7" t="s">
        <v>273</v>
      </c>
      <c r="M63" s="13" t="s">
        <v>305</v>
      </c>
      <c r="N63" s="13" t="s">
        <v>306</v>
      </c>
      <c r="O63" s="7" t="n">
        <v>1</v>
      </c>
      <c r="P63" s="13" t="s">
        <v>300</v>
      </c>
      <c r="Q63" s="13" t="str">
        <f aca="false">A63&amp;"-"&amp;R63&amp;"-"&amp;U63&amp;"("&amp;V63&amp;")"</f>
        <v>P1-TBDI1-31(14)</v>
      </c>
      <c r="R63" s="7" t="s">
        <v>269</v>
      </c>
      <c r="S63" s="7" t="s">
        <v>270</v>
      </c>
      <c r="T63" s="7" t="s">
        <v>271</v>
      </c>
      <c r="U63" s="7" t="n">
        <v>31</v>
      </c>
      <c r="V63" s="7" t="n">
        <v>14</v>
      </c>
      <c r="W63" s="13"/>
      <c r="X63" s="7" t="s">
        <v>42</v>
      </c>
    </row>
    <row r="64" customFormat="false" ht="15" hidden="false" customHeight="true" outlineLevel="0" collapsed="false">
      <c r="A64" s="7" t="s">
        <v>263</v>
      </c>
      <c r="B64" s="13" t="str">
        <f aca="false">T64</f>
        <v>1756-IB32</v>
      </c>
      <c r="C64" s="13"/>
      <c r="D64" s="7" t="s">
        <v>34</v>
      </c>
      <c r="E64" s="7" t="s">
        <v>264</v>
      </c>
      <c r="F64" s="7" t="s">
        <v>31</v>
      </c>
      <c r="G64" s="7" t="s">
        <v>103</v>
      </c>
      <c r="H64" s="7" t="s">
        <v>33</v>
      </c>
      <c r="I64" s="7" t="s">
        <v>33</v>
      </c>
      <c r="J64" s="13" t="str">
        <f aca="false">IF(D64="Y",F64&amp;"-"&amp;G64&amp;"/"&amp;Q64,"-")</f>
        <v>TB-24VDC-2(2)/P1-TBDI1-32(11)</v>
      </c>
      <c r="K64" s="13" t="str">
        <f aca="false">IF(D64="Y",Q64&amp;"/"&amp;F64&amp;"-"&amp;G64,"-")</f>
        <v>P1-TBDI1-32(11)/TB-24VDC-2(2)</v>
      </c>
      <c r="L64" s="7" t="s">
        <v>273</v>
      </c>
      <c r="M64" s="13" t="s">
        <v>305</v>
      </c>
      <c r="N64" s="13" t="s">
        <v>307</v>
      </c>
      <c r="O64" s="7" t="n">
        <v>1</v>
      </c>
      <c r="P64" s="13" t="s">
        <v>300</v>
      </c>
      <c r="Q64" s="13" t="str">
        <f aca="false">A64&amp;"-"&amp;R64&amp;"-"&amp;U64&amp;"("&amp;V64&amp;")"</f>
        <v>P1-TBDI1-32(11)</v>
      </c>
      <c r="R64" s="7" t="s">
        <v>269</v>
      </c>
      <c r="S64" s="7" t="s">
        <v>270</v>
      </c>
      <c r="T64" s="7" t="s">
        <v>271</v>
      </c>
      <c r="U64" s="7" t="n">
        <f aca="false">U65</f>
        <v>32</v>
      </c>
      <c r="V64" s="7" t="n">
        <v>11</v>
      </c>
      <c r="W64" s="13"/>
      <c r="X64" s="7" t="s">
        <v>42</v>
      </c>
    </row>
    <row r="65" customFormat="false" ht="15" hidden="false" customHeight="true" outlineLevel="0" collapsed="false">
      <c r="A65" s="7" t="s">
        <v>263</v>
      </c>
      <c r="B65" s="13" t="str">
        <f aca="false">T65</f>
        <v>1756-IB32</v>
      </c>
      <c r="C65" s="13"/>
      <c r="D65" s="7" t="s">
        <v>34</v>
      </c>
      <c r="E65" s="7" t="s">
        <v>264</v>
      </c>
      <c r="F65" s="7" t="s">
        <v>264</v>
      </c>
      <c r="G65" s="7" t="n">
        <v>34</v>
      </c>
      <c r="H65" s="7" t="s">
        <v>43</v>
      </c>
      <c r="I65" s="7" t="s">
        <v>152</v>
      </c>
      <c r="J65" s="13" t="str">
        <f aca="false">IF(D65="Y",F65&amp;"-"&amp;G65&amp;"/"&amp;Q65,"-")</f>
        <v>C1S4-34/P1-TBDI1-32(14)</v>
      </c>
      <c r="K65" s="13" t="str">
        <f aca="false">IF(D65="Y",Q65&amp;"/"&amp;F65&amp;"-"&amp;G65,"-")</f>
        <v>P1-TBDI1-32(14)/C1S4-34</v>
      </c>
      <c r="L65" s="7" t="s">
        <v>273</v>
      </c>
      <c r="M65" s="13" t="s">
        <v>305</v>
      </c>
      <c r="N65" s="13" t="s">
        <v>307</v>
      </c>
      <c r="O65" s="7" t="n">
        <v>2</v>
      </c>
      <c r="P65" s="13" t="s">
        <v>300</v>
      </c>
      <c r="Q65" s="13" t="str">
        <f aca="false">A65&amp;"-"&amp;R65&amp;"-"&amp;U65&amp;"("&amp;V65&amp;")"</f>
        <v>P1-TBDI1-32(14)</v>
      </c>
      <c r="R65" s="7" t="s">
        <v>269</v>
      </c>
      <c r="S65" s="7" t="s">
        <v>270</v>
      </c>
      <c r="T65" s="7" t="s">
        <v>271</v>
      </c>
      <c r="U65" s="7" t="n">
        <v>32</v>
      </c>
      <c r="V65" s="7" t="n">
        <v>14</v>
      </c>
      <c r="W65" s="13"/>
      <c r="X65" s="7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2026-10-08T10:19:32Z</dcterms:created>
  <dc:creator>cj xDev</dc:creator>
  <dc:description/>
  <dc:language>en-US</dc:language>
  <cp:lastModifiedBy>cj xDev</cp:lastModifiedBy>
  <dcterms:modified xsi:type="dcterms:W3CDTF">2026-10-08T11:26:49Z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